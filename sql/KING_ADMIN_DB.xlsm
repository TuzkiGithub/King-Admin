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8" Type="http://schemas.openxmlformats.org/officeDocument/2006/relationships/extended-properties" Target="docProps/app.xml"/><Relationship Id="rId7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6" Type="http://schemas.microsoft.com/office/2006/relationships/ui/userCustomization" Target="userCustomization/customUI.xml"/><Relationship Id="rId9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17" codeName="{DF3C4F89-B5F6-0529-7BDA-72F740A77A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de\King-Admin\sql\"/>
    </mc:Choice>
  </mc:AlternateContent>
  <xr:revisionPtr revIDLastSave="0" documentId="13_ncr:1_{B395D924-074A-4729-8571-A7096655BA83}" xr6:coauthVersionLast="43" xr6:coauthVersionMax="43" xr10:uidLastSave="{00000000-0000-0000-0000-000000000000}"/>
  <bookViews>
    <workbookView xWindow="-108" yWindow="-108" windowWidth="23256" windowHeight="12576" tabRatio="778" firstSheet="1" activeTab="4" xr2:uid="{00000000-000D-0000-FFFF-FFFF00000000}"/>
  </bookViews>
  <sheets>
    <sheet name="修订记录" sheetId="2" r:id="rId1"/>
    <sheet name="index" sheetId="289" r:id="rId2"/>
    <sheet name="ER-KING" sheetId="655" r:id="rId3"/>
    <sheet name="data_dict" sheetId="3" r:id="rId4"/>
    <sheet name="SYS_USER" sheetId="612" r:id="rId5"/>
    <sheet name="SYS_ROLE" sheetId="680" r:id="rId6"/>
  </sheets>
  <functionGroups builtInGroupCount="19"/>
  <definedNames>
    <definedName name="_xlnm._FilterDatabase" localSheetId="3" hidden="1">data_dict!$A$1:$L$6</definedName>
    <definedName name="_xlnm._FilterDatabase" localSheetId="1" hidden="1">index!$A$1:$G$1</definedName>
    <definedName name="Z_D7C46612_5574_4B7E_8156_123D939AF2D0_.wvu.FilterData" localSheetId="3" hidden="1">data_dict!$A$1:$K$1</definedName>
    <definedName name="Z_D7C46612_5574_4B7E_8156_123D939AF2D0_.wvu.FilterData" localSheetId="1" hidden="1">index!$A$1:$G$1</definedName>
    <definedName name="Z_D7C46612_5574_4B7E_8156_123D939AF2D0_.wvu.Rows" localSheetId="0" hidden="1">修订记录!#REF!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13" i="680" l="1"/>
  <c r="E13" i="680"/>
  <c r="D13" i="680"/>
  <c r="C13" i="680"/>
  <c r="A13" i="680"/>
  <c r="G12" i="680"/>
  <c r="E12" i="680"/>
  <c r="D12" i="680"/>
  <c r="C12" i="680"/>
  <c r="A12" i="680"/>
  <c r="G11" i="680"/>
  <c r="E11" i="680"/>
  <c r="D11" i="680"/>
  <c r="C11" i="680"/>
  <c r="A11" i="680"/>
  <c r="G10" i="680"/>
  <c r="E10" i="680"/>
  <c r="D10" i="680"/>
  <c r="C10" i="680"/>
  <c r="A10" i="680"/>
  <c r="G9" i="680"/>
  <c r="E9" i="680"/>
  <c r="D9" i="680"/>
  <c r="C9" i="680"/>
  <c r="A9" i="680"/>
  <c r="G8" i="680"/>
  <c r="E8" i="680"/>
  <c r="D8" i="680"/>
  <c r="C8" i="680"/>
  <c r="A8" i="680"/>
  <c r="G7" i="680"/>
  <c r="E7" i="680"/>
  <c r="D7" i="680"/>
  <c r="C7" i="680"/>
  <c r="A7" i="680"/>
  <c r="G6" i="680"/>
  <c r="E6" i="680"/>
  <c r="D6" i="680"/>
  <c r="C6" i="680"/>
  <c r="A6" i="680"/>
  <c r="G5" i="680"/>
  <c r="E5" i="680"/>
  <c r="D5" i="680"/>
  <c r="C5" i="680"/>
  <c r="A5" i="680"/>
  <c r="G4" i="680"/>
  <c r="E4" i="680"/>
  <c r="D4" i="680"/>
  <c r="C4" i="680"/>
  <c r="A4" i="680"/>
  <c r="B1" i="680"/>
  <c r="D1" i="680"/>
  <c r="K5" i="3"/>
  <c r="J5" i="3"/>
  <c r="A5" i="3"/>
  <c r="K31" i="3"/>
  <c r="J31" i="3"/>
  <c r="K30" i="3"/>
  <c r="J30" i="3"/>
  <c r="K29" i="3"/>
  <c r="J29" i="3"/>
  <c r="K28" i="3"/>
  <c r="J28" i="3"/>
  <c r="K27" i="3"/>
  <c r="J27" i="3"/>
  <c r="K26" i="3"/>
  <c r="J26" i="3"/>
  <c r="G11" i="612"/>
  <c r="E11" i="612"/>
  <c r="D11" i="612"/>
  <c r="C11" i="612"/>
  <c r="A11" i="612"/>
  <c r="G8" i="612"/>
  <c r="E8" i="612"/>
  <c r="D8" i="612"/>
  <c r="C8" i="612"/>
  <c r="A8" i="612"/>
  <c r="K40" i="3"/>
  <c r="J40" i="3"/>
  <c r="K24" i="3"/>
  <c r="J24" i="3"/>
  <c r="K25" i="3"/>
  <c r="J25" i="3"/>
  <c r="A5" i="612"/>
  <c r="A6" i="612"/>
  <c r="A7" i="612"/>
  <c r="A9" i="612"/>
  <c r="A10" i="612"/>
  <c r="A12" i="612"/>
  <c r="A4" i="612"/>
  <c r="A4" i="3"/>
  <c r="A3" i="3"/>
  <c r="K4" i="3"/>
  <c r="J4" i="3"/>
  <c r="K3" i="3"/>
  <c r="J3" i="3"/>
  <c r="J43" i="3"/>
  <c r="J42" i="3"/>
  <c r="J41" i="3"/>
  <c r="J39" i="3"/>
  <c r="J38" i="3"/>
  <c r="J37" i="3"/>
  <c r="J36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K43" i="3"/>
  <c r="K42" i="3"/>
  <c r="K41" i="3"/>
  <c r="K39" i="3"/>
  <c r="K38" i="3"/>
  <c r="K37" i="3"/>
  <c r="K36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A37" i="3"/>
  <c r="A38" i="3"/>
  <c r="A39" i="3"/>
  <c r="A40" i="3"/>
  <c r="A41" i="3"/>
  <c r="A42" i="3"/>
  <c r="A43" i="3"/>
  <c r="G12" i="612"/>
  <c r="E12" i="612"/>
  <c r="D12" i="612"/>
  <c r="C12" i="612"/>
  <c r="G10" i="612"/>
  <c r="E10" i="612"/>
  <c r="D10" i="612"/>
  <c r="C10" i="612"/>
  <c r="G9" i="612"/>
  <c r="E9" i="612"/>
  <c r="D9" i="612"/>
  <c r="C9" i="612"/>
  <c r="G7" i="612"/>
  <c r="E7" i="612"/>
  <c r="D7" i="612"/>
  <c r="C7" i="612"/>
  <c r="G6" i="612"/>
  <c r="E6" i="612"/>
  <c r="D6" i="612"/>
  <c r="C6" i="612"/>
  <c r="G5" i="612"/>
  <c r="E5" i="612"/>
  <c r="D5" i="612"/>
  <c r="C5" i="612"/>
  <c r="G4" i="612"/>
  <c r="E4" i="612"/>
  <c r="D4" i="612"/>
  <c r="C4" i="612"/>
  <c r="B1" i="612"/>
  <c r="D1" i="612"/>
  <c r="A10" i="3"/>
  <c r="A11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12" i="3"/>
</calcChain>
</file>

<file path=xl/sharedStrings.xml><?xml version="1.0" encoding="utf-8"?>
<sst xmlns="http://schemas.openxmlformats.org/spreadsheetml/2006/main" count="245" uniqueCount="145">
  <si>
    <t>日期</t>
  </si>
  <si>
    <t>提出人</t>
  </si>
  <si>
    <t>修改人</t>
  </si>
  <si>
    <t>修改的库表</t>
  </si>
  <si>
    <t>修改内容</t>
  </si>
  <si>
    <t>备注</t>
  </si>
  <si>
    <t>NO</t>
  </si>
  <si>
    <t>表英文名</t>
  </si>
  <si>
    <t>修改日期</t>
  </si>
  <si>
    <t>类型</t>
  </si>
  <si>
    <t>分区</t>
  </si>
  <si>
    <t>表中文名</t>
  </si>
  <si>
    <t>表说明</t>
  </si>
  <si>
    <t>序号</t>
  </si>
  <si>
    <t>字段名</t>
  </si>
  <si>
    <t>长度</t>
  </si>
  <si>
    <t>值域</t>
  </si>
  <si>
    <t>M/O</t>
  </si>
  <si>
    <t>名称</t>
  </si>
  <si>
    <t>默认值</t>
  </si>
  <si>
    <t>名字重复个数</t>
  </si>
  <si>
    <t>ID重复个数</t>
  </si>
  <si>
    <t>当前数据库字段</t>
  </si>
  <si>
    <t>varchar2</t>
  </si>
  <si>
    <t>date</t>
  </si>
  <si>
    <t>ACCOUNTS_ID</t>
  </si>
  <si>
    <t>决算报告编号</t>
  </si>
  <si>
    <t>常用字段</t>
  </si>
  <si>
    <t>ID</t>
  </si>
  <si>
    <t>M</t>
  </si>
  <si>
    <t>编号</t>
  </si>
  <si>
    <t>PID</t>
  </si>
  <si>
    <t>父编号</t>
  </si>
  <si>
    <t>NAME</t>
  </si>
  <si>
    <t>CODE</t>
  </si>
  <si>
    <t>编码</t>
  </si>
  <si>
    <t>描述</t>
  </si>
  <si>
    <t>REMARK</t>
  </si>
  <si>
    <t>clob</t>
  </si>
  <si>
    <t>附注</t>
  </si>
  <si>
    <t>KEY_WORDS</t>
  </si>
  <si>
    <t>关键词</t>
  </si>
  <si>
    <t>ADDRESS</t>
  </si>
  <si>
    <t>地址</t>
  </si>
  <si>
    <t>DISTRICT</t>
  </si>
  <si>
    <t>区县</t>
  </si>
  <si>
    <t>CITY</t>
  </si>
  <si>
    <t>城市</t>
  </si>
  <si>
    <t>PROVINCE</t>
  </si>
  <si>
    <t>省</t>
  </si>
  <si>
    <t>FILE_REPO_ID</t>
  </si>
  <si>
    <t>存储编号</t>
  </si>
  <si>
    <t>FILE_NAME</t>
  </si>
  <si>
    <t>文件</t>
  </si>
  <si>
    <t>FILE_TYPE</t>
  </si>
  <si>
    <t>文件类型</t>
  </si>
  <si>
    <t>FILE_SIZE</t>
  </si>
  <si>
    <t>integer</t>
  </si>
  <si>
    <t>文件大小</t>
  </si>
  <si>
    <t>标准字段</t>
  </si>
  <si>
    <t>CREATED_BY</t>
  </si>
  <si>
    <t>创建人</t>
  </si>
  <si>
    <t>CREATED_DATE</t>
  </si>
  <si>
    <t>创建日期</t>
  </si>
  <si>
    <t>MODIFIED_BY</t>
  </si>
  <si>
    <t>MODIFIED_DATE</t>
  </si>
  <si>
    <t>ENT_ID</t>
  </si>
  <si>
    <t>实体编号</t>
  </si>
  <si>
    <t>IX</t>
  </si>
  <si>
    <t>表名</t>
    <phoneticPr fontId="16" type="noConversion"/>
  </si>
  <si>
    <t>名称</t>
    <phoneticPr fontId="16" type="noConversion"/>
  </si>
  <si>
    <t>类型</t>
    <phoneticPr fontId="16" type="noConversion"/>
  </si>
  <si>
    <t>说明</t>
    <phoneticPr fontId="16" type="noConversion"/>
  </si>
  <si>
    <t>必选/选输</t>
    <phoneticPr fontId="16" type="noConversion"/>
  </si>
  <si>
    <t>本表说明</t>
    <phoneticPr fontId="16" type="noConversion"/>
  </si>
  <si>
    <t>返回</t>
    <phoneticPr fontId="16" type="noConversion"/>
  </si>
  <si>
    <t>数据字典</t>
    <phoneticPr fontId="16" type="noConversion"/>
  </si>
  <si>
    <t>类型</t>
    <phoneticPr fontId="16" type="noConversion"/>
  </si>
  <si>
    <t>说明</t>
    <phoneticPr fontId="16" type="noConversion"/>
  </si>
  <si>
    <t>必选/选输</t>
    <phoneticPr fontId="16" type="noConversion"/>
  </si>
  <si>
    <t>本表说明</t>
    <phoneticPr fontId="16" type="noConversion"/>
  </si>
  <si>
    <t>DESCRIPTION</t>
    <phoneticPr fontId="15" type="noConversion"/>
  </si>
  <si>
    <t/>
  </si>
  <si>
    <t>MODIFIED_BY</t>
    <phoneticPr fontId="15" type="noConversion"/>
  </si>
  <si>
    <r>
      <t>P</t>
    </r>
    <r>
      <rPr>
        <sz val="11"/>
        <color theme="1"/>
        <rFont val="宋体"/>
        <family val="2"/>
        <charset val="134"/>
        <scheme val="minor"/>
      </rPr>
      <t>K</t>
    </r>
    <phoneticPr fontId="15" type="noConversion"/>
  </si>
  <si>
    <t>序号</t>
    <phoneticPr fontId="15" type="noConversion"/>
  </si>
  <si>
    <t>创建部门</t>
    <phoneticPr fontId="15" type="noConversion"/>
  </si>
  <si>
    <t>CREATED_DEPT</t>
    <phoneticPr fontId="15" type="noConversion"/>
  </si>
  <si>
    <t>COMPLATE_DATE</t>
    <phoneticPr fontId="15" type="noConversion"/>
  </si>
  <si>
    <t>完成时间</t>
    <phoneticPr fontId="15" type="noConversion"/>
  </si>
  <si>
    <t>SYS_CODE</t>
    <phoneticPr fontId="15" type="noConversion"/>
  </si>
  <si>
    <t>SYS_NAME</t>
    <phoneticPr fontId="15" type="noConversion"/>
  </si>
  <si>
    <t>类型</t>
    <phoneticPr fontId="15" type="noConversion"/>
  </si>
  <si>
    <t>系统编号</t>
    <phoneticPr fontId="15" type="noConversion"/>
  </si>
  <si>
    <t>系统名称</t>
    <phoneticPr fontId="15" type="noConversion"/>
  </si>
  <si>
    <t>STATE_NAME</t>
    <phoneticPr fontId="15" type="noConversion"/>
  </si>
  <si>
    <t>STATE_CODE</t>
    <phoneticPr fontId="15" type="noConversion"/>
  </si>
  <si>
    <t>状态名称</t>
    <phoneticPr fontId="16" type="noConversion"/>
  </si>
  <si>
    <t>状态编号</t>
    <phoneticPr fontId="16" type="noConversion"/>
  </si>
  <si>
    <t>修改部门</t>
    <phoneticPr fontId="15" type="noConversion"/>
  </si>
  <si>
    <t>CREATED_DEPT</t>
    <phoneticPr fontId="15" type="noConversion"/>
  </si>
  <si>
    <t>MODIFIED_DEPT</t>
    <phoneticPr fontId="15" type="noConversion"/>
  </si>
  <si>
    <t>MODIFIED_DEPT</t>
    <phoneticPr fontId="15" type="noConversion"/>
  </si>
  <si>
    <t>CREATED_DEPT</t>
    <phoneticPr fontId="15" type="noConversion"/>
  </si>
  <si>
    <t>CASE_STATE</t>
    <phoneticPr fontId="15" type="noConversion"/>
  </si>
  <si>
    <t>CASE_STATE_NAME</t>
    <phoneticPr fontId="15" type="noConversion"/>
  </si>
  <si>
    <t>业务状态</t>
    <phoneticPr fontId="15" type="noConversion"/>
  </si>
  <si>
    <t>CURRENT_ACTOR</t>
    <phoneticPr fontId="15" type="noConversion"/>
  </si>
  <si>
    <t>CURRENT_ACTOR_NAME</t>
    <phoneticPr fontId="15" type="noConversion"/>
  </si>
  <si>
    <t>业务子状态编码</t>
    <phoneticPr fontId="15" type="noConversion"/>
  </si>
  <si>
    <t>业务子状态</t>
    <phoneticPr fontId="15" type="noConversion"/>
  </si>
  <si>
    <t>业务状态编码</t>
    <phoneticPr fontId="15" type="noConversion"/>
  </si>
  <si>
    <t>当前处理人</t>
    <phoneticPr fontId="15" type="noConversion"/>
  </si>
  <si>
    <t>当前处理人编码</t>
    <phoneticPr fontId="15" type="noConversion"/>
  </si>
  <si>
    <t>SUB_CASE_STATE</t>
    <phoneticPr fontId="15" type="noConversion"/>
  </si>
  <si>
    <t>SUB_CASE_STATE_NAME</t>
    <phoneticPr fontId="15" type="noConversion"/>
  </si>
  <si>
    <t>REQ_CATE</t>
    <phoneticPr fontId="15" type="noConversion"/>
  </si>
  <si>
    <t>简单需求/标准需求</t>
    <phoneticPr fontId="15" type="noConversion"/>
  </si>
  <si>
    <t>需求分类</t>
    <phoneticPr fontId="15" type="noConversion"/>
  </si>
  <si>
    <t>DICT_ID</t>
  </si>
  <si>
    <t>字典编号</t>
    <phoneticPr fontId="15" type="noConversion"/>
  </si>
  <si>
    <t>DISPLAY_SEQ</t>
    <phoneticPr fontId="15" type="noConversion"/>
  </si>
  <si>
    <t>排列顺序</t>
    <phoneticPr fontId="15" type="noConversion"/>
  </si>
  <si>
    <t>System_DB</t>
    <phoneticPr fontId="15" type="noConversion"/>
  </si>
  <si>
    <t>SYS_DEPT</t>
    <phoneticPr fontId="15" type="noConversion"/>
  </si>
  <si>
    <t>部门表</t>
    <phoneticPr fontId="15" type="noConversion"/>
  </si>
  <si>
    <t>SYS_DICT</t>
    <phoneticPr fontId="15" type="noConversion"/>
  </si>
  <si>
    <t>字典表</t>
    <phoneticPr fontId="15" type="noConversion"/>
  </si>
  <si>
    <t>SYS_FILE_INFO</t>
    <phoneticPr fontId="15" type="noConversion"/>
  </si>
  <si>
    <t>文件信息表</t>
    <phoneticPr fontId="15" type="noConversion"/>
  </si>
  <si>
    <t>SYS_LOGIN_LOG</t>
    <phoneticPr fontId="15" type="noConversion"/>
  </si>
  <si>
    <t>登录日志表</t>
    <phoneticPr fontId="15" type="noConversion"/>
  </si>
  <si>
    <t>SYS_MENU</t>
    <phoneticPr fontId="15" type="noConversion"/>
  </si>
  <si>
    <t>菜单表</t>
    <phoneticPr fontId="15" type="noConversion"/>
  </si>
  <si>
    <t>SYS_NOTICE</t>
    <phoneticPr fontId="15" type="noConversion"/>
  </si>
  <si>
    <t>通知表</t>
    <phoneticPr fontId="15" type="noConversion"/>
  </si>
  <si>
    <t>SYS_OPERATION_LOG</t>
    <phoneticPr fontId="15" type="noConversion"/>
  </si>
  <si>
    <t>操作日志</t>
    <phoneticPr fontId="15" type="noConversion"/>
  </si>
  <si>
    <t>SYS_ROLE_TO_MENU</t>
    <phoneticPr fontId="15" type="noConversion"/>
  </si>
  <si>
    <t>角色菜单关联表</t>
    <phoneticPr fontId="15" type="noConversion"/>
  </si>
  <si>
    <t>SYS_ROLE</t>
    <phoneticPr fontId="15" type="noConversion"/>
  </si>
  <si>
    <t>角色表</t>
    <phoneticPr fontId="15" type="noConversion"/>
  </si>
  <si>
    <t>SYS_USER</t>
    <phoneticPr fontId="15" type="noConversion"/>
  </si>
  <si>
    <t>系统用户表</t>
    <phoneticPr fontId="15" type="noConversion"/>
  </si>
  <si>
    <t>修改日期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</si>
</sst>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0.5"/>
      <color theme="1"/>
      <name val="宋体"/>
      <family val="3"/>
      <charset val="134"/>
    </font>
    <font>
      <sz val="10"/>
      <name val="Microsoft Sans Serif"/>
      <family val="2"/>
    </font>
    <font>
      <sz val="10.5"/>
      <color theme="1"/>
      <name val="Calibri"/>
      <family val="2"/>
    </font>
    <font>
      <u/>
      <sz val="11"/>
      <color theme="10"/>
      <name val="宋体"/>
      <family val="3"/>
      <charset val="134"/>
    </font>
    <font>
      <sz val="9"/>
      <color theme="1"/>
      <name val="宋体"/>
      <family val="3"/>
      <charset val="134"/>
      <scheme val="minor"/>
    </font>
    <font>
      <sz val="1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indexed="64"/>
      <name val="Microsoft Sans Serif"/>
      <family val="2"/>
      <charset val="134"/>
    </font>
    <font>
      <sz val="10"/>
      <color indexed="64"/>
      <name val="Microsoft Sans Serif"/>
      <family val="2"/>
    </font>
    <font>
      <sz val="10"/>
      <color indexed="64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39994506668294322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7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top"/>
      <protection locked="0"/>
    </xf>
    <xf numFmtId="0" fontId="14" fillId="0" borderId="0"/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79">
    <xf numFmtId="0" fontId="0" fillId="0" borderId="0" xfId="0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 wrapText="1"/>
    </xf>
    <xf numFmtId="0" fontId="6" fillId="3" borderId="1" xfId="0" applyFont="1" applyFill="1" applyBorder="1" applyAlignment="1">
      <alignment horizontal="justify" vertical="center" wrapText="1"/>
    </xf>
    <xf numFmtId="49" fontId="7" fillId="0" borderId="1" xfId="0" applyNumberFormat="1" applyFont="1" applyBorder="1" applyAlignment="1">
      <alignment vertical="center"/>
    </xf>
    <xf numFmtId="0" fontId="8" fillId="2" borderId="0" xfId="0" applyFont="1" applyFill="1" applyBorder="1" applyAlignment="1">
      <alignment horizontal="justify" vertical="center" wrapText="1"/>
    </xf>
    <xf numFmtId="0" fontId="0" fillId="2" borderId="1" xfId="0" applyFill="1" applyBorder="1" applyAlignment="1">
      <alignment vertical="center" wrapText="1"/>
    </xf>
    <xf numFmtId="0" fontId="10" fillId="4" borderId="1" xfId="0" applyFont="1" applyFill="1" applyBorder="1">
      <alignment vertical="center"/>
    </xf>
    <xf numFmtId="0" fontId="10" fillId="0" borderId="1" xfId="0" applyFont="1" applyFill="1" applyBorder="1">
      <alignment vertical="center"/>
    </xf>
    <xf numFmtId="0" fontId="7" fillId="0" borderId="1" xfId="0" applyNumberFormat="1" applyFont="1" applyBorder="1" applyAlignment="1">
      <alignment horizontal="left"/>
    </xf>
    <xf numFmtId="0" fontId="10" fillId="4" borderId="1" xfId="0" applyFont="1" applyFill="1" applyBorder="1" applyAlignment="1">
      <alignment horizontal="justify" vertical="top" wrapText="1"/>
    </xf>
    <xf numFmtId="49" fontId="7" fillId="0" borderId="1" xfId="0" applyNumberFormat="1" applyFont="1" applyBorder="1" applyAlignment="1"/>
    <xf numFmtId="49" fontId="11" fillId="0" borderId="1" xfId="0" applyNumberFormat="1" applyFont="1" applyBorder="1" applyAlignment="1"/>
    <xf numFmtId="0" fontId="10" fillId="0" borderId="1" xfId="0" applyFont="1" applyFill="1" applyBorder="1" applyAlignment="1">
      <alignment horizontal="justify" vertical="center" wrapText="1"/>
    </xf>
    <xf numFmtId="49" fontId="11" fillId="4" borderId="1" xfId="0" applyNumberFormat="1" applyFont="1" applyFill="1" applyBorder="1" applyAlignment="1"/>
    <xf numFmtId="0" fontId="10" fillId="4" borderId="1" xfId="0" applyFont="1" applyFill="1" applyBorder="1" applyAlignment="1">
      <alignment horizontal="justify" vertical="center" wrapText="1"/>
    </xf>
    <xf numFmtId="0" fontId="0" fillId="0" borderId="0" xfId="0" applyAlignment="1">
      <alignment horizontal="center" vertical="center"/>
    </xf>
    <xf numFmtId="0" fontId="0" fillId="5" borderId="0" xfId="0" applyFill="1">
      <alignment vertical="center"/>
    </xf>
    <xf numFmtId="0" fontId="12" fillId="6" borderId="3" xfId="0" applyFont="1" applyFill="1" applyBorder="1" applyAlignment="1">
      <alignment vertical="center"/>
    </xf>
    <xf numFmtId="0" fontId="12" fillId="6" borderId="4" xfId="0" applyFont="1" applyFill="1" applyBorder="1" applyAlignment="1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vertical="center" wrapText="1"/>
    </xf>
    <xf numFmtId="0" fontId="12" fillId="2" borderId="1" xfId="0" applyFont="1" applyFill="1" applyBorder="1">
      <alignment vertical="center"/>
    </xf>
    <xf numFmtId="0" fontId="12" fillId="2" borderId="1" xfId="0" applyFont="1" applyFill="1" applyBorder="1" applyAlignment="1">
      <alignment vertical="center" wrapText="1"/>
    </xf>
    <xf numFmtId="14" fontId="0" fillId="2" borderId="1" xfId="0" applyNumberFormat="1" applyFill="1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 applyAlignment="1">
      <alignment vertical="center"/>
    </xf>
    <xf numFmtId="49" fontId="17" fillId="0" borderId="1" xfId="0" applyNumberFormat="1" applyFont="1" applyBorder="1" applyAlignment="1">
      <alignment vertical="center"/>
    </xf>
    <xf numFmtId="49" fontId="17" fillId="0" borderId="0" xfId="0" applyNumberFormat="1" applyFont="1" applyBorder="1" applyAlignment="1">
      <alignment vertical="center"/>
    </xf>
    <xf numFmtId="49" fontId="18" fillId="0" borderId="1" xfId="0" applyNumberFormat="1" applyFont="1" applyBorder="1" applyAlignment="1"/>
    <xf numFmtId="49" fontId="19" fillId="0" borderId="1" xfId="0" applyNumberFormat="1" applyFont="1" applyBorder="1" applyAlignment="1"/>
    <xf numFmtId="0" fontId="13" fillId="0" borderId="0" xfId="0" applyFont="1">
      <alignment vertical="center"/>
    </xf>
    <xf numFmtId="0" fontId="5" fillId="2" borderId="1" xfId="5" applyFill="1" applyBorder="1" applyAlignment="1">
      <alignment vertical="center"/>
    </xf>
    <xf numFmtId="0" fontId="8" fillId="2" borderId="1" xfId="5" applyFont="1" applyFill="1" applyBorder="1" applyAlignment="1">
      <alignment horizontal="justify" vertical="center" wrapText="1"/>
    </xf>
    <xf numFmtId="0" fontId="6" fillId="2" borderId="1" xfId="5" applyFont="1" applyFill="1" applyBorder="1" applyAlignment="1">
      <alignment horizontal="justify" vertical="center" wrapText="1"/>
    </xf>
    <xf numFmtId="0" fontId="5" fillId="2" borderId="1" xfId="5" applyFill="1" applyBorder="1" applyAlignment="1">
      <alignment vertical="center" wrapText="1"/>
    </xf>
    <xf numFmtId="0" fontId="5" fillId="2" borderId="1" xfId="5" applyFill="1" applyBorder="1" applyAlignment="1">
      <alignment vertical="center"/>
    </xf>
    <xf numFmtId="0" fontId="8" fillId="2" borderId="1" xfId="5" applyFont="1" applyFill="1" applyBorder="1" applyAlignment="1">
      <alignment horizontal="justify" vertical="center" wrapText="1"/>
    </xf>
    <xf numFmtId="0" fontId="6" fillId="2" borderId="1" xfId="5" applyFont="1" applyFill="1" applyBorder="1" applyAlignment="1">
      <alignment horizontal="justify" vertical="center" wrapText="1"/>
    </xf>
    <xf numFmtId="0" fontId="8" fillId="2" borderId="0" xfId="5" applyFont="1" applyFill="1" applyBorder="1" applyAlignment="1">
      <alignment horizontal="justify" vertical="center" wrapText="1"/>
    </xf>
    <xf numFmtId="0" fontId="7" fillId="0" borderId="1" xfId="0" applyNumberFormat="1" applyFont="1" applyFill="1" applyBorder="1" applyAlignment="1">
      <alignment wrapText="1"/>
    </xf>
    <xf numFmtId="0" fontId="8" fillId="2" borderId="1" xfId="4" applyFont="1" applyFill="1" applyBorder="1" applyAlignment="1">
      <alignment horizontal="justify" vertical="center" wrapText="1"/>
    </xf>
    <xf numFmtId="0" fontId="9" fillId="2" borderId="0" xfId="1" applyFill="1" applyBorder="1" applyAlignment="1" applyProtection="1">
      <alignment vertical="center"/>
    </xf>
    <xf numFmtId="0" fontId="4" fillId="2" borderId="1" xfId="7" applyFill="1" applyBorder="1" applyAlignment="1">
      <alignment vertical="center"/>
    </xf>
    <xf numFmtId="49" fontId="17" fillId="0" borderId="1" xfId="7" applyNumberFormat="1" applyFont="1" applyBorder="1" applyAlignment="1">
      <alignment vertical="center"/>
    </xf>
    <xf numFmtId="0" fontId="8" fillId="2" borderId="1" xfId="7" applyFont="1" applyFill="1" applyBorder="1" applyAlignment="1">
      <alignment horizontal="justify" vertical="center" wrapText="1"/>
    </xf>
    <xf numFmtId="0" fontId="13" fillId="0" borderId="0" xfId="4">
      <alignment vertical="center"/>
    </xf>
    <xf numFmtId="0" fontId="13" fillId="0" borderId="0" xfId="4" applyFont="1">
      <alignment vertical="center"/>
    </xf>
    <xf numFmtId="0" fontId="8" fillId="2" borderId="1" xfId="4" applyFont="1" applyFill="1" applyBorder="1" applyAlignment="1">
      <alignment horizontal="justify" vertical="center" wrapText="1"/>
    </xf>
    <xf numFmtId="0" fontId="9" fillId="2" borderId="0" xfId="1" applyFill="1" applyBorder="1" applyAlignment="1" applyProtection="1">
      <alignment vertical="center"/>
    </xf>
    <xf numFmtId="0" fontId="4" fillId="2" borderId="1" xfId="7" applyFill="1" applyBorder="1" applyAlignment="1">
      <alignment vertical="center"/>
    </xf>
    <xf numFmtId="49" fontId="17" fillId="0" borderId="1" xfId="7" applyNumberFormat="1" applyFont="1" applyBorder="1" applyAlignment="1">
      <alignment vertical="center"/>
    </xf>
    <xf numFmtId="0" fontId="8" fillId="2" borderId="1" xfId="7" applyFont="1" applyFill="1" applyBorder="1" applyAlignment="1">
      <alignment horizontal="justify" vertical="center" wrapText="1"/>
    </xf>
    <xf numFmtId="0" fontId="11" fillId="0" borderId="1" xfId="0" applyNumberFormat="1" applyFont="1" applyFill="1" applyBorder="1" applyAlignment="1">
      <alignment wrapText="1"/>
    </xf>
    <xf numFmtId="0" fontId="9" fillId="0" borderId="0" xfId="1" applyAlignment="1" applyProtection="1">
      <alignment vertical="center"/>
    </xf>
    <xf numFmtId="0" fontId="17" fillId="0" borderId="1" xfId="0" applyNumberFormat="1" applyFont="1" applyFill="1" applyBorder="1" applyAlignment="1">
      <alignment wrapText="1"/>
    </xf>
    <xf numFmtId="0" fontId="10" fillId="4" borderId="1" xfId="0" applyFont="1" applyFill="1" applyBorder="1" applyAlignment="1">
      <alignment horizontal="left" vertical="top" wrapText="1"/>
    </xf>
    <xf numFmtId="0" fontId="18" fillId="0" borderId="1" xfId="0" applyNumberFormat="1" applyFont="1" applyBorder="1" applyAlignment="1">
      <alignment horizontal="left"/>
    </xf>
    <xf numFmtId="0" fontId="13" fillId="0" borderId="0" xfId="4" applyFont="1" applyFill="1">
      <alignment vertical="center"/>
    </xf>
    <xf numFmtId="0" fontId="10" fillId="0" borderId="5" xfId="0" applyFont="1" applyFill="1" applyBorder="1">
      <alignment vertical="center"/>
    </xf>
    <xf numFmtId="49" fontId="7" fillId="0" borderId="5" xfId="0" applyNumberFormat="1" applyFont="1" applyBorder="1" applyAlignment="1">
      <alignment vertical="center"/>
    </xf>
    <xf numFmtId="49" fontId="7" fillId="0" borderId="5" xfId="0" applyNumberFormat="1" applyFont="1" applyBorder="1" applyAlignment="1"/>
    <xf numFmtId="0" fontId="7" fillId="0" borderId="5" xfId="0" applyNumberFormat="1" applyFont="1" applyBorder="1" applyAlignment="1">
      <alignment horizontal="left" vertical="center"/>
    </xf>
    <xf numFmtId="0" fontId="7" fillId="0" borderId="5" xfId="0" applyNumberFormat="1" applyFont="1" applyFill="1" applyBorder="1" applyAlignment="1"/>
    <xf numFmtId="49" fontId="11" fillId="0" borderId="5" xfId="0" applyNumberFormat="1" applyFont="1" applyFill="1" applyBorder="1" applyAlignment="1"/>
    <xf numFmtId="0" fontId="10" fillId="0" borderId="5" xfId="0" applyFont="1" applyFill="1" applyBorder="1" applyAlignment="1">
      <alignment horizontal="justify" vertical="center" wrapText="1"/>
    </xf>
    <xf numFmtId="0" fontId="10" fillId="0" borderId="1" xfId="0" applyFont="1" applyFill="1" applyBorder="1" applyAlignment="1">
      <alignment vertical="center"/>
    </xf>
    <xf numFmtId="0" fontId="7" fillId="0" borderId="1" xfId="0" applyNumberFormat="1" applyFont="1" applyBorder="1" applyAlignment="1">
      <alignment horizontal="left" vertical="center"/>
    </xf>
    <xf numFmtId="0" fontId="7" fillId="0" borderId="1" xfId="0" applyNumberFormat="1" applyFont="1" applyFill="1" applyBorder="1" applyAlignment="1">
      <alignment vertical="center" wrapText="1"/>
    </xf>
    <xf numFmtId="49" fontId="11" fillId="0" borderId="1" xfId="0" applyNumberFormat="1" applyFont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5" borderId="0" xfId="0" applyFill="1" applyAlignment="1">
      <alignment horizontal="center" vertical="center"/>
    </xf>
    <xf numFmtId="0" fontId="12" fillId="0" borderId="0" xfId="0" applyFont="1">
      <alignment vertical="center"/>
    </xf>
    <xf numFmtId="0" fontId="12" fillId="6" borderId="2" xfId="0" applyFont="1" applyFill="1" applyBorder="1" applyAlignment="1">
      <alignment horizontal="left" vertical="center"/>
    </xf>
    <xf numFmtId="0" fontId="12" fillId="6" borderId="3" xfId="0" applyFont="1" applyFill="1" applyBorder="1" applyAlignment="1">
      <alignment horizontal="left" vertical="center"/>
    </xf>
    <xf numFmtId="0" fontId="0" fillId="3" borderId="1" xfId="0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</cellXfs>
  <cellStyles count="17">
    <cellStyle name="常规" xfId="0" builtinId="0"/>
    <cellStyle name="常规 2" xfId="3" xr:uid="{00000000-0005-0000-0000-000001000000}"/>
    <cellStyle name="常规 2 2" xfId="2" xr:uid="{00000000-0005-0000-0000-000002000000}"/>
    <cellStyle name="常规 3" xfId="4" xr:uid="{00000000-0005-0000-0000-000003000000}"/>
    <cellStyle name="常规 4" xfId="5" xr:uid="{00000000-0005-0000-0000-000004000000}"/>
    <cellStyle name="常规 4 2" xfId="7" xr:uid="{00000000-0005-0000-0000-000005000000}"/>
    <cellStyle name="常规 4 2 2" xfId="10" xr:uid="{00000000-0005-0000-0000-000006000000}"/>
    <cellStyle name="常规 4 2 2 2" xfId="16" xr:uid="{00000000-0005-0000-0000-000007000000}"/>
    <cellStyle name="常规 4 2 3" xfId="13" xr:uid="{00000000-0005-0000-0000-000008000000}"/>
    <cellStyle name="常规 4 3" xfId="6" xr:uid="{00000000-0005-0000-0000-000009000000}"/>
    <cellStyle name="常规 4 3 2" xfId="9" xr:uid="{00000000-0005-0000-0000-00000A000000}"/>
    <cellStyle name="常规 4 3 2 2" xfId="15" xr:uid="{00000000-0005-0000-0000-00000B000000}"/>
    <cellStyle name="常规 4 3 3" xfId="12" xr:uid="{00000000-0005-0000-0000-00000C000000}"/>
    <cellStyle name="常规 4 4" xfId="8" xr:uid="{00000000-0005-0000-0000-00000D000000}"/>
    <cellStyle name="常规 4 4 2" xfId="14" xr:uid="{00000000-0005-0000-0000-00000E000000}"/>
    <cellStyle name="常规 4 5" xfId="11" xr:uid="{00000000-0005-0000-0000-00000F000000}"/>
    <cellStyle name="超链接" xfId="1" builtinId="8"/>
  </cellStyles>
  <dxfs count="56">
    <dxf>
      <font>
        <color rgb="FF9C0006"/>
      </font>
      <fill>
        <patternFill patternType="solid"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161925</xdr:colOff>
      <xdr:row>23</xdr:row>
      <xdr:rowOff>114300</xdr:rowOff>
    </xdr:from>
    <xdr:ext cx="309880" cy="273685"/>
    <xdr:sp macro="" textlink="">
      <xdr:nvSpPr>
        <xdr:cNvPr id="30" name="文本框 22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7705725" y="4057650"/>
          <a:ext cx="309880" cy="273685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l"/>
          <a:endParaRPr lang="zh-CN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1"/>
  <dimension ref="A1:F28"/>
  <sheetViews>
    <sheetView workbookViewId="0">
      <selection activeCell="A7" sqref="A7"/>
    </sheetView>
  </sheetViews>
  <sheetFormatPr defaultColWidth="9" defaultRowHeight="14.4" x14ac:dyDescent="0.25"/>
  <cols>
    <col min="1" max="1" width="10.44140625" style="22" customWidth="1"/>
    <col min="2" max="2" width="7.33203125" style="22" customWidth="1"/>
    <col min="3" max="3" width="8.77734375" style="22" customWidth="1"/>
    <col min="4" max="4" width="23.88671875" style="22" customWidth="1"/>
    <col min="5" max="5" width="52" style="23" customWidth="1"/>
    <col min="6" max="6" width="28.6640625" style="22" customWidth="1"/>
    <col min="7" max="16384" width="9" style="22"/>
  </cols>
  <sheetData>
    <row r="1" spans="1:6" x14ac:dyDescent="0.25">
      <c r="A1" s="24" t="s">
        <v>0</v>
      </c>
      <c r="B1" s="24" t="s">
        <v>1</v>
      </c>
      <c r="C1" s="24" t="s">
        <v>2</v>
      </c>
      <c r="D1" s="24" t="s">
        <v>3</v>
      </c>
      <c r="E1" s="25" t="s">
        <v>4</v>
      </c>
      <c r="F1" s="24" t="s">
        <v>5</v>
      </c>
    </row>
    <row r="2" spans="1:6" x14ac:dyDescent="0.25">
      <c r="A2" s="26"/>
      <c r="B2" s="27"/>
      <c r="C2" s="27"/>
      <c r="D2" s="8"/>
      <c r="E2" s="8"/>
      <c r="F2" s="27"/>
    </row>
    <row r="3" spans="1:6" x14ac:dyDescent="0.25">
      <c r="A3" s="27"/>
      <c r="B3" s="27"/>
      <c r="C3" s="27"/>
      <c r="D3" s="8"/>
      <c r="E3" s="8"/>
      <c r="F3" s="27"/>
    </row>
    <row r="4" spans="1:6" x14ac:dyDescent="0.25">
      <c r="A4" s="27"/>
      <c r="B4" s="27"/>
      <c r="C4" s="27"/>
      <c r="D4" s="8"/>
      <c r="E4" s="8"/>
      <c r="F4" s="27"/>
    </row>
    <row r="5" spans="1:6" x14ac:dyDescent="0.25">
      <c r="A5" s="27"/>
      <c r="B5" s="27"/>
      <c r="C5" s="27"/>
      <c r="D5" s="8"/>
      <c r="E5" s="8"/>
      <c r="F5" s="27"/>
    </row>
    <row r="6" spans="1:6" x14ac:dyDescent="0.25">
      <c r="A6" s="27"/>
      <c r="B6" s="27"/>
      <c r="C6" s="27"/>
      <c r="D6" s="8"/>
      <c r="E6" s="8"/>
      <c r="F6" s="27"/>
    </row>
    <row r="7" spans="1:6" x14ac:dyDescent="0.25">
      <c r="A7" s="27"/>
      <c r="B7" s="27"/>
      <c r="C7" s="27"/>
      <c r="D7" s="8"/>
      <c r="E7" s="8"/>
      <c r="F7" s="27"/>
    </row>
    <row r="8" spans="1:6" x14ac:dyDescent="0.25">
      <c r="A8" s="27"/>
      <c r="B8" s="27"/>
      <c r="C8" s="27"/>
      <c r="D8" s="8"/>
      <c r="E8" s="8"/>
      <c r="F8" s="27"/>
    </row>
    <row r="9" spans="1:6" x14ac:dyDescent="0.25">
      <c r="A9" s="27"/>
      <c r="B9" s="27"/>
      <c r="C9" s="27"/>
      <c r="D9" s="8"/>
      <c r="E9" s="8"/>
      <c r="F9" s="27"/>
    </row>
    <row r="10" spans="1:6" x14ac:dyDescent="0.25">
      <c r="A10" s="27"/>
      <c r="B10" s="27"/>
      <c r="C10" s="27"/>
      <c r="D10" s="8"/>
      <c r="E10" s="8"/>
      <c r="F10" s="27"/>
    </row>
    <row r="11" spans="1:6" x14ac:dyDescent="0.25">
      <c r="A11" s="27"/>
      <c r="B11" s="27"/>
      <c r="C11" s="27"/>
      <c r="D11" s="8"/>
      <c r="E11" s="8"/>
      <c r="F11" s="27"/>
    </row>
    <row r="12" spans="1:6" x14ac:dyDescent="0.25">
      <c r="A12" s="27"/>
      <c r="B12" s="27"/>
      <c r="C12" s="27"/>
      <c r="D12" s="8"/>
      <c r="E12" s="8"/>
      <c r="F12" s="27"/>
    </row>
    <row r="13" spans="1:6" x14ac:dyDescent="0.25">
      <c r="A13" s="27"/>
      <c r="B13" s="27"/>
      <c r="C13" s="27"/>
      <c r="D13" s="8"/>
      <c r="E13" s="8"/>
      <c r="F13" s="27"/>
    </row>
    <row r="14" spans="1:6" x14ac:dyDescent="0.25">
      <c r="A14" s="27"/>
      <c r="B14" s="27"/>
      <c r="C14" s="27"/>
      <c r="D14" s="8"/>
      <c r="E14" s="8"/>
      <c r="F14" s="27"/>
    </row>
    <row r="15" spans="1:6" x14ac:dyDescent="0.25">
      <c r="A15" s="27"/>
      <c r="B15" s="27"/>
      <c r="C15" s="27"/>
      <c r="D15" s="8"/>
      <c r="E15" s="8"/>
      <c r="F15" s="27"/>
    </row>
    <row r="16" spans="1:6" x14ac:dyDescent="0.25">
      <c r="A16" s="27"/>
      <c r="B16" s="27"/>
      <c r="C16" s="27"/>
      <c r="D16" s="8"/>
      <c r="E16" s="8"/>
      <c r="F16" s="27"/>
    </row>
    <row r="17" spans="1:6" x14ac:dyDescent="0.25">
      <c r="A17" s="27"/>
      <c r="B17" s="27"/>
      <c r="C17" s="27"/>
      <c r="D17" s="8"/>
      <c r="E17" s="8"/>
      <c r="F17" s="27"/>
    </row>
    <row r="18" spans="1:6" x14ac:dyDescent="0.25">
      <c r="A18" s="27"/>
      <c r="B18" s="27"/>
      <c r="C18" s="27"/>
      <c r="D18" s="8"/>
      <c r="E18" s="8"/>
      <c r="F18" s="27"/>
    </row>
    <row r="19" spans="1:6" x14ac:dyDescent="0.25">
      <c r="A19" s="27"/>
      <c r="B19" s="27"/>
      <c r="C19" s="27"/>
      <c r="D19" s="8"/>
      <c r="E19" s="8"/>
      <c r="F19" s="27"/>
    </row>
    <row r="20" spans="1:6" x14ac:dyDescent="0.25">
      <c r="A20" s="27"/>
      <c r="B20" s="27"/>
      <c r="C20" s="27"/>
      <c r="D20" s="8"/>
      <c r="E20" s="8"/>
      <c r="F20" s="27"/>
    </row>
    <row r="21" spans="1:6" x14ac:dyDescent="0.25">
      <c r="A21" s="27"/>
      <c r="B21" s="27"/>
      <c r="C21" s="27"/>
      <c r="D21" s="8"/>
      <c r="E21" s="8"/>
      <c r="F21" s="27"/>
    </row>
    <row r="22" spans="1:6" x14ac:dyDescent="0.25">
      <c r="A22" s="27"/>
      <c r="B22" s="27"/>
      <c r="C22" s="27"/>
      <c r="D22" s="8"/>
      <c r="E22" s="8"/>
      <c r="F22" s="27"/>
    </row>
    <row r="23" spans="1:6" x14ac:dyDescent="0.25">
      <c r="A23" s="27"/>
      <c r="B23" s="27"/>
      <c r="C23" s="27"/>
      <c r="D23" s="8"/>
      <c r="E23" s="8"/>
      <c r="F23" s="27"/>
    </row>
    <row r="24" spans="1:6" x14ac:dyDescent="0.25">
      <c r="A24" s="27"/>
      <c r="B24" s="27"/>
      <c r="C24" s="27"/>
      <c r="D24" s="8"/>
      <c r="E24" s="8"/>
      <c r="F24" s="27"/>
    </row>
    <row r="25" spans="1:6" x14ac:dyDescent="0.25">
      <c r="A25" s="27"/>
      <c r="B25" s="27"/>
      <c r="C25" s="27"/>
      <c r="D25" s="8"/>
      <c r="E25" s="8"/>
      <c r="F25" s="27"/>
    </row>
    <row r="26" spans="1:6" x14ac:dyDescent="0.25">
      <c r="A26" s="27"/>
      <c r="B26" s="27"/>
      <c r="C26" s="27"/>
      <c r="D26" s="8"/>
      <c r="E26" s="8"/>
      <c r="F26" s="27"/>
    </row>
    <row r="27" spans="1:6" x14ac:dyDescent="0.25">
      <c r="A27" s="27"/>
      <c r="B27" s="27"/>
      <c r="C27" s="27"/>
      <c r="D27" s="8"/>
      <c r="E27" s="8"/>
      <c r="F27" s="27"/>
    </row>
    <row r="28" spans="1:6" x14ac:dyDescent="0.25">
      <c r="A28" s="27"/>
      <c r="B28" s="27"/>
      <c r="C28" s="27"/>
      <c r="D28" s="8"/>
      <c r="E28" s="8"/>
      <c r="F28" s="27"/>
    </row>
  </sheetData>
  <phoneticPr fontId="15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G13"/>
  <sheetViews>
    <sheetView workbookViewId="0">
      <pane xSplit="2" ySplit="1" topLeftCell="C2" activePane="bottomRight" state="frozen"/>
      <selection pane="topRight"/>
      <selection pane="bottomLeft"/>
      <selection pane="bottomRight" activeCell="B3" sqref="B3"/>
    </sheetView>
  </sheetViews>
  <sheetFormatPr defaultColWidth="9" defaultRowHeight="14.4" x14ac:dyDescent="0.25"/>
  <cols>
    <col min="1" max="1" width="7.21875" style="18" customWidth="1"/>
    <col min="2" max="2" width="30.44140625" customWidth="1"/>
    <col min="3" max="3" width="11" customWidth="1"/>
    <col min="4" max="4" width="13" customWidth="1"/>
    <col min="5" max="5" width="7.44140625" customWidth="1"/>
    <col min="6" max="6" width="38" customWidth="1"/>
    <col min="7" max="7" width="51.77734375" customWidth="1"/>
    <col min="8" max="8" width="9.44140625" customWidth="1"/>
  </cols>
  <sheetData>
    <row r="1" spans="1:7" ht="15" thickBot="1" x14ac:dyDescent="0.3">
      <c r="A1" s="73" t="s">
        <v>6</v>
      </c>
      <c r="B1" s="19" t="s">
        <v>7</v>
      </c>
      <c r="C1" s="19" t="s">
        <v>8</v>
      </c>
      <c r="D1" s="19" t="s">
        <v>9</v>
      </c>
      <c r="E1" s="19" t="s">
        <v>10</v>
      </c>
      <c r="F1" s="19" t="s">
        <v>11</v>
      </c>
      <c r="G1" s="19" t="s">
        <v>12</v>
      </c>
    </row>
    <row r="2" spans="1:7" ht="15" thickBot="1" x14ac:dyDescent="0.3">
      <c r="A2" s="75" t="s">
        <v>123</v>
      </c>
      <c r="B2" s="76"/>
      <c r="C2" s="20"/>
      <c r="D2" s="20"/>
      <c r="E2" s="20"/>
      <c r="F2" s="20"/>
      <c r="G2" s="21"/>
    </row>
    <row r="3" spans="1:7" x14ac:dyDescent="0.25">
      <c r="A3" s="18">
        <v>0</v>
      </c>
      <c r="B3" s="56" t="s">
        <v>142</v>
      </c>
      <c r="F3" s="60" t="s">
        <v>143</v>
      </c>
    </row>
    <row r="4" spans="1:7" x14ac:dyDescent="0.25">
      <c r="A4" s="18">
        <v>1</v>
      </c>
      <c r="B4" s="56" t="s">
        <v>140</v>
      </c>
      <c r="F4" s="60" t="s">
        <v>141</v>
      </c>
    </row>
    <row r="5" spans="1:7" x14ac:dyDescent="0.25">
      <c r="A5" s="18">
        <v>2</v>
      </c>
      <c r="B5" s="33" t="s">
        <v>132</v>
      </c>
      <c r="F5" s="60" t="s">
        <v>133</v>
      </c>
    </row>
    <row r="6" spans="1:7" x14ac:dyDescent="0.25">
      <c r="A6" s="18">
        <v>3</v>
      </c>
      <c r="B6" s="33" t="s">
        <v>138</v>
      </c>
      <c r="F6" s="60" t="s">
        <v>139</v>
      </c>
    </row>
    <row r="7" spans="1:7" x14ac:dyDescent="0.25">
      <c r="A7" s="18">
        <v>4</v>
      </c>
      <c r="B7" s="56" t="s">
        <v>124</v>
      </c>
      <c r="C7" s="48"/>
      <c r="D7" s="48"/>
      <c r="E7" s="48"/>
      <c r="F7" s="48" t="s">
        <v>125</v>
      </c>
      <c r="G7" s="48"/>
    </row>
    <row r="8" spans="1:7" x14ac:dyDescent="0.25">
      <c r="A8" s="18">
        <v>5</v>
      </c>
      <c r="B8" s="33" t="s">
        <v>134</v>
      </c>
      <c r="F8" s="60" t="s">
        <v>135</v>
      </c>
    </row>
    <row r="9" spans="1:7" x14ac:dyDescent="0.25">
      <c r="A9" s="18">
        <v>6</v>
      </c>
      <c r="B9" s="33" t="s">
        <v>130</v>
      </c>
      <c r="F9" s="60" t="s">
        <v>131</v>
      </c>
    </row>
    <row r="10" spans="1:7" x14ac:dyDescent="0.25">
      <c r="A10" s="18">
        <v>7</v>
      </c>
      <c r="B10" s="33" t="s">
        <v>136</v>
      </c>
      <c r="F10" s="60" t="s">
        <v>137</v>
      </c>
    </row>
    <row r="11" spans="1:7" x14ac:dyDescent="0.25">
      <c r="A11" s="18">
        <v>8</v>
      </c>
      <c r="B11" s="56" t="s">
        <v>128</v>
      </c>
      <c r="C11" s="48"/>
      <c r="D11" s="48"/>
      <c r="E11" s="48"/>
      <c r="F11" s="49" t="s">
        <v>129</v>
      </c>
      <c r="G11" s="48"/>
    </row>
    <row r="12" spans="1:7" x14ac:dyDescent="0.25">
      <c r="A12" s="18">
        <v>9</v>
      </c>
      <c r="B12" s="56" t="s">
        <v>126</v>
      </c>
      <c r="C12" s="48"/>
      <c r="D12" s="48"/>
      <c r="E12" s="48"/>
      <c r="F12" s="49" t="s">
        <v>127</v>
      </c>
      <c r="G12" s="48"/>
    </row>
    <row r="13" spans="1:7" x14ac:dyDescent="0.25">
      <c r="F13" s="74"/>
    </row>
  </sheetData>
  <autoFilter ref="A1:G1" xr:uid="{00000000-0009-0000-0000-000001000000}"/>
  <mergeCells count="1">
    <mergeCell ref="A2:B2"/>
  </mergeCells>
  <phoneticPr fontId="15" type="noConversion"/>
  <hyperlinks>
    <hyperlink ref="B12" location="REQ_PLAN!A1" display="REQ_PLAN" xr:uid="{00000000-0004-0000-0100-000001000000}"/>
    <hyperlink ref="B11" location="REQ_PRJ!A1" display="REQ_PRJ" xr:uid="{70A1DED8-922A-4007-A1D9-A84DE77CF961}"/>
    <hyperlink ref="B7" location="REQ_INFO!A1" display="REQ_INFO" xr:uid="{00000000-0004-0000-0100-000000000000}"/>
    <hyperlink ref="B3" location="SYS_USER!A1" display="SYS_USER" xr:uid="{BADB8507-56EB-49D5-95C3-651202C4094C}"/>
    <hyperlink ref="B4" location="SYS_ROLE!A1" display="SYS_ROLE" xr:uid="{7FBF52DA-67E7-42A6-87EA-C31D9356C128}"/>
  </hyperlinks>
  <pageMargins left="0.69930555555555596" right="0.69930555555555596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E12:N13"/>
  <sheetViews>
    <sheetView workbookViewId="0">
      <selection activeCell="D7" sqref="D7"/>
    </sheetView>
  </sheetViews>
  <sheetFormatPr defaultColWidth="9" defaultRowHeight="14.4" x14ac:dyDescent="0.25"/>
  <sheetData>
    <row r="12" spans="5:14" x14ac:dyDescent="0.25">
      <c r="E12" s="33"/>
      <c r="F12" s="33"/>
    </row>
    <row r="13" spans="5:14" x14ac:dyDescent="0.25">
      <c r="N13" s="33"/>
    </row>
  </sheetData>
  <phoneticPr fontId="15" type="noConversion"/>
  <pageMargins left="0.69930555555555596" right="0.69930555555555596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 filterMode="1"/>
  <dimension ref="A1:L67"/>
  <sheetViews>
    <sheetView workbookViewId="0">
      <pane xSplit="4" ySplit="1" topLeftCell="E2" activePane="bottomRight" state="frozen"/>
      <selection pane="topRight"/>
      <selection pane="bottomLeft"/>
      <selection pane="bottomRight"/>
    </sheetView>
  </sheetViews>
  <sheetFormatPr defaultColWidth="7.109375" defaultRowHeight="20.25" customHeight="1" x14ac:dyDescent="0.25"/>
  <cols>
    <col min="1" max="1" width="7.21875" style="10" customWidth="1"/>
    <col min="2" max="2" width="33.88671875" style="6" customWidth="1"/>
    <col min="3" max="3" width="10" style="10" customWidth="1"/>
    <col min="4" max="4" width="10" style="11" customWidth="1"/>
    <col min="5" max="5" width="22.109375" style="42" customWidth="1"/>
    <col min="6" max="6" width="10.33203125" style="10" customWidth="1"/>
    <col min="7" max="7" width="29.33203125" style="10" bestFit="1" customWidth="1"/>
    <col min="8" max="8" width="25.44140625" style="10" customWidth="1"/>
    <col min="9" max="9" width="9.6640625" style="10" customWidth="1"/>
    <col min="10" max="10" width="14.77734375" style="10" customWidth="1"/>
    <col min="11" max="11" width="12.21875" style="10" customWidth="1"/>
    <col min="12" max="12" width="11.33203125" style="10" customWidth="1"/>
    <col min="13" max="16384" width="7.109375" style="10"/>
  </cols>
  <sheetData>
    <row r="1" spans="1:12" ht="15.45" customHeight="1" x14ac:dyDescent="0.25">
      <c r="A1" s="6" t="s">
        <v>85</v>
      </c>
      <c r="B1" s="6" t="s">
        <v>14</v>
      </c>
      <c r="C1" s="6" t="s">
        <v>92</v>
      </c>
      <c r="D1" s="6" t="s">
        <v>15</v>
      </c>
      <c r="E1" s="6" t="s">
        <v>16</v>
      </c>
      <c r="F1" s="6" t="s">
        <v>17</v>
      </c>
      <c r="G1" s="6" t="s">
        <v>18</v>
      </c>
      <c r="H1" s="6" t="s">
        <v>5</v>
      </c>
      <c r="I1" s="6" t="s">
        <v>19</v>
      </c>
      <c r="J1" s="6" t="s">
        <v>20</v>
      </c>
      <c r="K1" s="6" t="s">
        <v>21</v>
      </c>
      <c r="L1" s="6" t="s">
        <v>8</v>
      </c>
    </row>
    <row r="2" spans="1:12" s="9" customFormat="1" ht="20.25" customHeight="1" x14ac:dyDescent="0.25">
      <c r="A2" s="12"/>
      <c r="B2" s="12" t="s">
        <v>22</v>
      </c>
      <c r="C2" s="12"/>
      <c r="D2" s="58"/>
      <c r="E2" s="12"/>
      <c r="F2" s="12"/>
      <c r="G2" s="12"/>
      <c r="H2" s="12"/>
      <c r="I2" s="12"/>
    </row>
    <row r="3" spans="1:12" ht="20.25" customHeight="1" x14ac:dyDescent="0.25">
      <c r="A3" s="10">
        <f>ROW()-2</f>
        <v>1</v>
      </c>
      <c r="B3" s="53" t="s">
        <v>90</v>
      </c>
      <c r="C3" s="13" t="s">
        <v>23</v>
      </c>
      <c r="D3" s="11">
        <v>64</v>
      </c>
      <c r="F3" s="13"/>
      <c r="G3" s="14" t="s">
        <v>93</v>
      </c>
      <c r="H3" s="13"/>
      <c r="I3" s="15"/>
      <c r="J3" s="10">
        <f>COUNTIF(G3:G1288,G3)</f>
        <v>1</v>
      </c>
      <c r="K3" s="10">
        <f>COUNTIF($B$2:B1288,B3)</f>
        <v>1</v>
      </c>
    </row>
    <row r="4" spans="1:12" ht="20.25" customHeight="1" x14ac:dyDescent="0.25">
      <c r="A4" s="10">
        <f t="shared" ref="A4:A5" si="0">ROW()-2</f>
        <v>2</v>
      </c>
      <c r="B4" s="53" t="s">
        <v>91</v>
      </c>
      <c r="C4" s="13" t="s">
        <v>23</v>
      </c>
      <c r="D4" s="11">
        <v>256</v>
      </c>
      <c r="F4" s="13"/>
      <c r="G4" s="14" t="s">
        <v>94</v>
      </c>
      <c r="H4" s="13"/>
      <c r="I4" s="15"/>
      <c r="J4" s="10">
        <f>COUNTIF(G4:G1289,G4)</f>
        <v>1</v>
      </c>
      <c r="K4" s="10">
        <f>COUNTIF($B$2:B1289,B4)</f>
        <v>1</v>
      </c>
    </row>
    <row r="5" spans="1:12" ht="22.5" customHeight="1" x14ac:dyDescent="0.25">
      <c r="A5" s="10">
        <f t="shared" si="0"/>
        <v>3</v>
      </c>
      <c r="B5" s="53" t="s">
        <v>116</v>
      </c>
      <c r="C5" s="13" t="s">
        <v>23</v>
      </c>
      <c r="D5" s="11">
        <v>64</v>
      </c>
      <c r="E5" s="55" t="s">
        <v>117</v>
      </c>
      <c r="F5" s="13"/>
      <c r="G5" s="14" t="s">
        <v>118</v>
      </c>
      <c r="H5" s="13"/>
      <c r="I5" s="15"/>
      <c r="J5" s="10">
        <f>COUNTIF(G5:G1289,G5)</f>
        <v>1</v>
      </c>
      <c r="K5" s="10">
        <f>COUNTIF($B$2:B1289,B5)</f>
        <v>1</v>
      </c>
    </row>
    <row r="6" spans="1:12" s="61" customFormat="1" ht="13.2" hidden="1" x14ac:dyDescent="0.25">
      <c r="B6" s="62" t="s">
        <v>25</v>
      </c>
      <c r="C6" s="63" t="s">
        <v>23</v>
      </c>
      <c r="D6" s="64">
        <v>64</v>
      </c>
      <c r="E6" s="65"/>
      <c r="F6" s="63"/>
      <c r="G6" s="66" t="s">
        <v>26</v>
      </c>
      <c r="H6" s="63"/>
      <c r="I6" s="67"/>
    </row>
    <row r="7" spans="1:12" ht="20.25" customHeight="1" x14ac:dyDescent="0.25">
      <c r="B7" s="53"/>
      <c r="C7" s="31"/>
      <c r="D7" s="59"/>
      <c r="E7" s="57"/>
      <c r="F7" s="31"/>
      <c r="G7" s="32"/>
      <c r="H7" s="13"/>
      <c r="I7" s="15"/>
    </row>
    <row r="8" spans="1:12" s="9" customFormat="1" ht="20.25" customHeight="1" x14ac:dyDescent="0.25">
      <c r="A8" s="12"/>
      <c r="B8" s="12" t="s">
        <v>27</v>
      </c>
      <c r="C8" s="12"/>
      <c r="D8" s="58"/>
      <c r="E8" s="12"/>
      <c r="F8" s="12"/>
      <c r="G8" s="12"/>
      <c r="H8" s="12"/>
      <c r="I8" s="12"/>
      <c r="J8" s="12"/>
      <c r="K8" s="12"/>
    </row>
    <row r="9" spans="1:12" ht="20.25" customHeight="1" x14ac:dyDescent="0.25">
      <c r="A9" s="10">
        <v>1</v>
      </c>
      <c r="B9" s="6" t="s">
        <v>28</v>
      </c>
      <c r="C9" s="13" t="s">
        <v>23</v>
      </c>
      <c r="D9" s="11">
        <v>64</v>
      </c>
      <c r="F9" s="13" t="s">
        <v>29</v>
      </c>
      <c r="G9" s="14" t="s">
        <v>30</v>
      </c>
      <c r="H9" s="13"/>
      <c r="I9" s="15"/>
      <c r="J9" s="10">
        <f t="shared" ref="J9:J23" si="1">COUNTIF(G9:G1764,G9)</f>
        <v>1</v>
      </c>
      <c r="K9" s="10">
        <f>COUNTIF($B$2:B1764,B9)</f>
        <v>1</v>
      </c>
    </row>
    <row r="10" spans="1:12" ht="20.25" customHeight="1" x14ac:dyDescent="0.25">
      <c r="A10" s="10">
        <f>A9+1</f>
        <v>2</v>
      </c>
      <c r="B10" s="6" t="s">
        <v>31</v>
      </c>
      <c r="C10" s="13" t="s">
        <v>23</v>
      </c>
      <c r="D10" s="11">
        <v>64</v>
      </c>
      <c r="F10" s="13"/>
      <c r="G10" s="14" t="s">
        <v>32</v>
      </c>
      <c r="I10" s="15"/>
      <c r="J10" s="10">
        <f t="shared" si="1"/>
        <v>1</v>
      </c>
      <c r="K10" s="10">
        <f>COUNTIF($B$2:B1765,B10)</f>
        <v>1</v>
      </c>
    </row>
    <row r="11" spans="1:12" ht="20.25" customHeight="1" x14ac:dyDescent="0.25">
      <c r="A11" s="10">
        <f t="shared" ref="A11:A31" si="2">A10+1</f>
        <v>3</v>
      </c>
      <c r="B11" s="6" t="s">
        <v>33</v>
      </c>
      <c r="C11" s="13" t="s">
        <v>23</v>
      </c>
      <c r="D11" s="11">
        <v>255</v>
      </c>
      <c r="F11" s="13"/>
      <c r="G11" s="14" t="s">
        <v>18</v>
      </c>
      <c r="I11" s="15"/>
      <c r="J11" s="10">
        <f t="shared" si="1"/>
        <v>1</v>
      </c>
      <c r="K11" s="10">
        <f>COUNTIF($B$2:B1766,B11)</f>
        <v>1</v>
      </c>
    </row>
    <row r="12" spans="1:12" ht="20.25" customHeight="1" x14ac:dyDescent="0.25">
      <c r="A12" s="10">
        <f t="shared" si="2"/>
        <v>4</v>
      </c>
      <c r="B12" s="6" t="s">
        <v>34</v>
      </c>
      <c r="C12" s="13" t="s">
        <v>23</v>
      </c>
      <c r="D12" s="11">
        <v>64</v>
      </c>
      <c r="F12" s="13"/>
      <c r="G12" s="14" t="s">
        <v>35</v>
      </c>
      <c r="I12" s="15"/>
      <c r="J12" s="10">
        <f t="shared" si="1"/>
        <v>1</v>
      </c>
      <c r="K12" s="10">
        <f>COUNTIF($B$2:B1767,B12)</f>
        <v>1</v>
      </c>
    </row>
    <row r="13" spans="1:12" ht="20.25" customHeight="1" x14ac:dyDescent="0.25">
      <c r="A13" s="10">
        <f>A11+1</f>
        <v>4</v>
      </c>
      <c r="B13" s="6" t="s">
        <v>81</v>
      </c>
      <c r="C13" s="13" t="s">
        <v>38</v>
      </c>
      <c r="D13" s="11">
        <v>0</v>
      </c>
      <c r="F13" s="13"/>
      <c r="G13" s="14" t="s">
        <v>36</v>
      </c>
      <c r="I13" s="15"/>
      <c r="J13" s="10">
        <f t="shared" si="1"/>
        <v>1</v>
      </c>
      <c r="K13" s="10">
        <f>COUNTIF($B$2:B1768,B13)</f>
        <v>1</v>
      </c>
    </row>
    <row r="14" spans="1:12" ht="20.25" customHeight="1" x14ac:dyDescent="0.25">
      <c r="A14" s="10">
        <f t="shared" si="2"/>
        <v>5</v>
      </c>
      <c r="B14" s="6" t="s">
        <v>37</v>
      </c>
      <c r="C14" s="13" t="s">
        <v>38</v>
      </c>
      <c r="F14" s="13"/>
      <c r="G14" s="14" t="s">
        <v>39</v>
      </c>
      <c r="I14" s="15"/>
      <c r="J14" s="10">
        <f t="shared" si="1"/>
        <v>1</v>
      </c>
      <c r="K14" s="10">
        <f>COUNTIF($B$2:B1769,B14)</f>
        <v>1</v>
      </c>
    </row>
    <row r="15" spans="1:12" ht="20.25" customHeight="1" x14ac:dyDescent="0.25">
      <c r="A15" s="10">
        <f t="shared" si="2"/>
        <v>6</v>
      </c>
      <c r="B15" s="6" t="s">
        <v>40</v>
      </c>
      <c r="C15" s="13" t="s">
        <v>23</v>
      </c>
      <c r="D15" s="11">
        <v>256</v>
      </c>
      <c r="F15" s="13"/>
      <c r="G15" s="14" t="s">
        <v>41</v>
      </c>
      <c r="I15" s="15"/>
      <c r="J15" s="10">
        <f t="shared" si="1"/>
        <v>1</v>
      </c>
      <c r="K15" s="10">
        <f>COUNTIF($B$2:B1770,B15)</f>
        <v>1</v>
      </c>
    </row>
    <row r="16" spans="1:12" ht="20.25" customHeight="1" x14ac:dyDescent="0.25">
      <c r="A16" s="10">
        <f t="shared" si="2"/>
        <v>7</v>
      </c>
      <c r="B16" s="6" t="s">
        <v>42</v>
      </c>
      <c r="C16" s="13" t="s">
        <v>23</v>
      </c>
      <c r="D16" s="11">
        <v>256</v>
      </c>
      <c r="F16" s="13"/>
      <c r="G16" s="14" t="s">
        <v>43</v>
      </c>
      <c r="I16" s="15"/>
      <c r="J16" s="10">
        <f t="shared" si="1"/>
        <v>1</v>
      </c>
      <c r="K16" s="10">
        <f>COUNTIF($B$2:B1771,B16)</f>
        <v>1</v>
      </c>
    </row>
    <row r="17" spans="1:11" ht="20.25" customHeight="1" x14ac:dyDescent="0.25">
      <c r="A17" s="10">
        <f t="shared" si="2"/>
        <v>8</v>
      </c>
      <c r="B17" s="6" t="s">
        <v>44</v>
      </c>
      <c r="C17" s="13" t="s">
        <v>23</v>
      </c>
      <c r="D17" s="11">
        <v>256</v>
      </c>
      <c r="F17" s="13"/>
      <c r="G17" s="14" t="s">
        <v>45</v>
      </c>
      <c r="H17" s="13"/>
      <c r="I17" s="15"/>
      <c r="J17" s="10">
        <f t="shared" si="1"/>
        <v>1</v>
      </c>
      <c r="K17" s="10">
        <f>COUNTIF($B$2:B1772,B17)</f>
        <v>1</v>
      </c>
    </row>
    <row r="18" spans="1:11" ht="20.25" customHeight="1" x14ac:dyDescent="0.25">
      <c r="A18" s="10">
        <f t="shared" si="2"/>
        <v>9</v>
      </c>
      <c r="B18" s="6" t="s">
        <v>46</v>
      </c>
      <c r="C18" s="13" t="s">
        <v>23</v>
      </c>
      <c r="D18" s="11">
        <v>64</v>
      </c>
      <c r="F18" s="13"/>
      <c r="G18" s="14" t="s">
        <v>47</v>
      </c>
      <c r="H18" s="13"/>
      <c r="I18" s="15"/>
      <c r="J18" s="10">
        <f t="shared" si="1"/>
        <v>1</v>
      </c>
      <c r="K18" s="10">
        <f>COUNTIF($B$2:B1773,B18)</f>
        <v>1</v>
      </c>
    </row>
    <row r="19" spans="1:11" ht="20.25" customHeight="1" x14ac:dyDescent="0.25">
      <c r="A19" s="10">
        <f t="shared" si="2"/>
        <v>10</v>
      </c>
      <c r="B19" s="6" t="s">
        <v>48</v>
      </c>
      <c r="C19" s="13" t="s">
        <v>23</v>
      </c>
      <c r="D19" s="11">
        <v>64</v>
      </c>
      <c r="F19" s="13"/>
      <c r="G19" s="14" t="s">
        <v>49</v>
      </c>
      <c r="H19" s="13"/>
      <c r="I19" s="15"/>
      <c r="J19" s="10">
        <f t="shared" si="1"/>
        <v>1</v>
      </c>
      <c r="K19" s="10">
        <f>COUNTIF($B$2:B1774,B19)</f>
        <v>1</v>
      </c>
    </row>
    <row r="20" spans="1:11" ht="20.25" customHeight="1" x14ac:dyDescent="0.25">
      <c r="A20" s="10">
        <f t="shared" si="2"/>
        <v>11</v>
      </c>
      <c r="B20" s="6" t="s">
        <v>50</v>
      </c>
      <c r="C20" s="13" t="s">
        <v>23</v>
      </c>
      <c r="D20" s="11">
        <v>256</v>
      </c>
      <c r="F20" s="13"/>
      <c r="G20" s="14" t="s">
        <v>51</v>
      </c>
      <c r="I20" s="15"/>
      <c r="J20" s="10">
        <f t="shared" si="1"/>
        <v>1</v>
      </c>
      <c r="K20" s="10">
        <f>COUNTIF($B$2:B1775,B20)</f>
        <v>1</v>
      </c>
    </row>
    <row r="21" spans="1:11" ht="20.25" customHeight="1" x14ac:dyDescent="0.25">
      <c r="A21" s="10">
        <f t="shared" si="2"/>
        <v>12</v>
      </c>
      <c r="B21" s="6" t="s">
        <v>52</v>
      </c>
      <c r="C21" s="13" t="s">
        <v>23</v>
      </c>
      <c r="D21" s="11">
        <v>256</v>
      </c>
      <c r="F21" s="13"/>
      <c r="G21" s="14" t="s">
        <v>53</v>
      </c>
      <c r="H21" s="13"/>
      <c r="I21" s="15"/>
      <c r="J21" s="10">
        <f t="shared" si="1"/>
        <v>1</v>
      </c>
      <c r="K21" s="10">
        <f>COUNTIF($B$2:B1776,B21)</f>
        <v>1</v>
      </c>
    </row>
    <row r="22" spans="1:11" ht="20.25" customHeight="1" x14ac:dyDescent="0.25">
      <c r="A22" s="10">
        <f t="shared" si="2"/>
        <v>13</v>
      </c>
      <c r="B22" s="6" t="s">
        <v>54</v>
      </c>
      <c r="C22" s="13" t="s">
        <v>23</v>
      </c>
      <c r="D22" s="11">
        <v>64</v>
      </c>
      <c r="F22" s="13"/>
      <c r="G22" s="14" t="s">
        <v>55</v>
      </c>
      <c r="H22" s="13"/>
      <c r="I22" s="15"/>
      <c r="J22" s="10">
        <f t="shared" si="1"/>
        <v>1</v>
      </c>
      <c r="K22" s="10">
        <f>COUNTIF($B$2:B1777,B22)</f>
        <v>1</v>
      </c>
    </row>
    <row r="23" spans="1:11" ht="20.25" customHeight="1" x14ac:dyDescent="0.25">
      <c r="A23" s="10">
        <f t="shared" si="2"/>
        <v>14</v>
      </c>
      <c r="B23" s="6" t="s">
        <v>56</v>
      </c>
      <c r="C23" s="13" t="s">
        <v>57</v>
      </c>
      <c r="F23" s="13"/>
      <c r="G23" s="14" t="s">
        <v>58</v>
      </c>
      <c r="H23" s="13"/>
      <c r="I23" s="15"/>
      <c r="J23" s="10">
        <f t="shared" si="1"/>
        <v>1</v>
      </c>
      <c r="K23" s="10">
        <f>COUNTIF($B$2:B1778,B23)</f>
        <v>1</v>
      </c>
    </row>
    <row r="24" spans="1:11" ht="20.25" customHeight="1" x14ac:dyDescent="0.25">
      <c r="A24" s="10">
        <f t="shared" si="2"/>
        <v>15</v>
      </c>
      <c r="B24" s="29" t="s">
        <v>96</v>
      </c>
      <c r="C24" s="31" t="s">
        <v>23</v>
      </c>
      <c r="D24" s="59">
        <v>64</v>
      </c>
      <c r="E24" s="57"/>
      <c r="F24" s="31"/>
      <c r="G24" s="32" t="s">
        <v>98</v>
      </c>
      <c r="H24" s="13"/>
      <c r="I24" s="15"/>
      <c r="J24" s="10">
        <f>COUNTIF(G6:G1310,G24)</f>
        <v>1</v>
      </c>
      <c r="K24" s="10">
        <f>COUNTIF($B$2:B1310,B24)</f>
        <v>1</v>
      </c>
    </row>
    <row r="25" spans="1:11" ht="20.25" customHeight="1" x14ac:dyDescent="0.25">
      <c r="A25" s="10">
        <f t="shared" si="2"/>
        <v>16</v>
      </c>
      <c r="B25" s="29" t="s">
        <v>95</v>
      </c>
      <c r="C25" s="31" t="s">
        <v>23</v>
      </c>
      <c r="D25" s="59">
        <v>64</v>
      </c>
      <c r="E25" s="57"/>
      <c r="F25" s="31"/>
      <c r="G25" s="32" t="s">
        <v>97</v>
      </c>
      <c r="H25" s="13"/>
      <c r="I25" s="15"/>
      <c r="J25" s="10">
        <f>COUNTIF(G25:G1311,G25)</f>
        <v>1</v>
      </c>
      <c r="K25" s="10">
        <f>COUNTIF($B$2:B1311,B25)</f>
        <v>1</v>
      </c>
    </row>
    <row r="26" spans="1:11" ht="20.25" customHeight="1" x14ac:dyDescent="0.25">
      <c r="A26" s="10">
        <f t="shared" si="2"/>
        <v>17</v>
      </c>
      <c r="B26" s="6" t="s">
        <v>104</v>
      </c>
      <c r="C26" s="13" t="s">
        <v>23</v>
      </c>
      <c r="D26" s="11">
        <v>64</v>
      </c>
      <c r="F26" s="13"/>
      <c r="G26" s="14" t="s">
        <v>111</v>
      </c>
      <c r="H26" s="13"/>
      <c r="I26" s="15"/>
      <c r="J26" s="10">
        <f>COUNTIF(G6:G1681,G26)</f>
        <v>1</v>
      </c>
      <c r="K26" s="10">
        <f>COUNTIF($B$2:B1681,B26)</f>
        <v>1</v>
      </c>
    </row>
    <row r="27" spans="1:11" ht="20.25" customHeight="1" x14ac:dyDescent="0.25">
      <c r="A27" s="10">
        <f t="shared" si="2"/>
        <v>18</v>
      </c>
      <c r="B27" s="6" t="s">
        <v>105</v>
      </c>
      <c r="C27" s="13" t="s">
        <v>23</v>
      </c>
      <c r="D27" s="11">
        <v>64</v>
      </c>
      <c r="F27" s="13"/>
      <c r="G27" s="14" t="s">
        <v>106</v>
      </c>
      <c r="H27" s="13"/>
      <c r="I27" s="15"/>
      <c r="J27" s="10">
        <f>COUNTIF(G6:G1682,G27)</f>
        <v>1</v>
      </c>
      <c r="K27" s="10">
        <f>COUNTIF($B$2:B1682,B27)</f>
        <v>1</v>
      </c>
    </row>
    <row r="28" spans="1:11" ht="20.25" customHeight="1" x14ac:dyDescent="0.25">
      <c r="A28" s="10">
        <f t="shared" si="2"/>
        <v>19</v>
      </c>
      <c r="B28" s="6" t="s">
        <v>114</v>
      </c>
      <c r="C28" s="13" t="s">
        <v>23</v>
      </c>
      <c r="D28" s="11">
        <v>64</v>
      </c>
      <c r="F28" s="13"/>
      <c r="G28" s="14" t="s">
        <v>109</v>
      </c>
      <c r="H28" s="13"/>
      <c r="I28" s="15"/>
      <c r="J28" s="10">
        <f>COUNTIF(G6:G1683,G28)</f>
        <v>1</v>
      </c>
      <c r="K28" s="10">
        <f>COUNTIF($B$2:B1683,B28)</f>
        <v>1</v>
      </c>
    </row>
    <row r="29" spans="1:11" ht="20.25" customHeight="1" x14ac:dyDescent="0.25">
      <c r="A29" s="10">
        <f t="shared" si="2"/>
        <v>20</v>
      </c>
      <c r="B29" s="6" t="s">
        <v>115</v>
      </c>
      <c r="C29" s="13" t="s">
        <v>23</v>
      </c>
      <c r="D29" s="11">
        <v>64</v>
      </c>
      <c r="F29" s="13"/>
      <c r="G29" s="14" t="s">
        <v>110</v>
      </c>
      <c r="H29" s="13"/>
      <c r="I29" s="15"/>
      <c r="J29" s="10">
        <f>COUNTIF(G6:G1684,G29)</f>
        <v>1</v>
      </c>
      <c r="K29" s="10">
        <f>COUNTIF($B$2:B1684,B29)</f>
        <v>1</v>
      </c>
    </row>
    <row r="30" spans="1:11" ht="20.25" customHeight="1" x14ac:dyDescent="0.25">
      <c r="A30" s="10">
        <f t="shared" si="2"/>
        <v>21</v>
      </c>
      <c r="B30" s="6" t="s">
        <v>107</v>
      </c>
      <c r="C30" s="13" t="s">
        <v>38</v>
      </c>
      <c r="F30" s="13"/>
      <c r="G30" s="14" t="s">
        <v>113</v>
      </c>
      <c r="H30" s="13"/>
      <c r="I30" s="15"/>
      <c r="J30" s="10">
        <f>COUNTIF(G8:G1685,G30)</f>
        <v>1</v>
      </c>
      <c r="K30" s="10">
        <f>COUNTIF($B$2:B1685,B30)</f>
        <v>1</v>
      </c>
    </row>
    <row r="31" spans="1:11" ht="20.25" customHeight="1" x14ac:dyDescent="0.25">
      <c r="A31" s="10">
        <f t="shared" si="2"/>
        <v>22</v>
      </c>
      <c r="B31" s="6" t="s">
        <v>108</v>
      </c>
      <c r="C31" s="13" t="s">
        <v>38</v>
      </c>
      <c r="F31" s="13"/>
      <c r="G31" s="14" t="s">
        <v>112</v>
      </c>
      <c r="H31" s="13"/>
      <c r="I31" s="15"/>
      <c r="J31" s="10">
        <f>COUNTIF(G9:G1686,G31)</f>
        <v>1</v>
      </c>
      <c r="K31" s="10">
        <f>COUNTIF($B$2:B1686,B31)</f>
        <v>1</v>
      </c>
    </row>
    <row r="32" spans="1:11" ht="20.25" customHeight="1" x14ac:dyDescent="0.25">
      <c r="A32" s="10">
        <v>23</v>
      </c>
      <c r="B32" s="6" t="s">
        <v>119</v>
      </c>
      <c r="C32" s="13" t="s">
        <v>23</v>
      </c>
      <c r="D32" s="11">
        <v>64</v>
      </c>
      <c r="F32" s="13"/>
      <c r="G32" s="14" t="s">
        <v>120</v>
      </c>
      <c r="I32" s="15"/>
    </row>
    <row r="33" spans="1:11" ht="20.25" customHeight="1" x14ac:dyDescent="0.25">
      <c r="A33" s="10">
        <v>24</v>
      </c>
      <c r="B33" s="6" t="s">
        <v>121</v>
      </c>
      <c r="C33" s="13" t="s">
        <v>23</v>
      </c>
      <c r="D33" s="11">
        <v>64</v>
      </c>
      <c r="F33" s="13"/>
      <c r="G33" s="14" t="s">
        <v>122</v>
      </c>
      <c r="I33" s="15"/>
    </row>
    <row r="34" spans="1:11" ht="20.25" customHeight="1" x14ac:dyDescent="0.25">
      <c r="C34" s="13"/>
      <c r="F34" s="13"/>
      <c r="G34" s="14"/>
      <c r="I34" s="15"/>
    </row>
    <row r="35" spans="1:11" s="9" customFormat="1" ht="20.25" customHeight="1" x14ac:dyDescent="0.15">
      <c r="B35" s="12" t="s">
        <v>59</v>
      </c>
      <c r="C35" s="12"/>
      <c r="D35" s="58"/>
      <c r="E35" s="12"/>
      <c r="F35" s="12"/>
      <c r="G35" s="16"/>
      <c r="I35" s="17"/>
      <c r="J35" s="17"/>
      <c r="K35" s="17"/>
    </row>
    <row r="36" spans="1:11" ht="20.25" customHeight="1" x14ac:dyDescent="0.25">
      <c r="A36" s="10">
        <v>1</v>
      </c>
      <c r="B36" s="6" t="s">
        <v>60</v>
      </c>
      <c r="C36" s="13" t="s">
        <v>23</v>
      </c>
      <c r="D36" s="11">
        <v>64</v>
      </c>
      <c r="F36" s="13"/>
      <c r="G36" s="14" t="s">
        <v>61</v>
      </c>
      <c r="H36" s="13"/>
      <c r="J36" s="10">
        <f>COUNTIF(G36:G1781,G36)</f>
        <v>1</v>
      </c>
      <c r="K36" s="10">
        <f>COUNTIF($B$2:B1781,B36)</f>
        <v>1</v>
      </c>
    </row>
    <row r="37" spans="1:11" ht="20.25" customHeight="1" x14ac:dyDescent="0.25">
      <c r="A37" s="10">
        <f>A36+1</f>
        <v>2</v>
      </c>
      <c r="B37" s="6" t="s">
        <v>100</v>
      </c>
      <c r="C37" s="13" t="s">
        <v>23</v>
      </c>
      <c r="D37" s="11">
        <v>64</v>
      </c>
      <c r="F37" s="13"/>
      <c r="G37" s="14" t="s">
        <v>86</v>
      </c>
      <c r="H37" s="13"/>
      <c r="J37" s="10">
        <f>COUNTIF(G37:G1782,G37)</f>
        <v>1</v>
      </c>
      <c r="K37" s="10">
        <f>COUNTIF($B$2:B1782,B37)</f>
        <v>1</v>
      </c>
    </row>
    <row r="38" spans="1:11" ht="20.25" customHeight="1" x14ac:dyDescent="0.25">
      <c r="A38" s="10">
        <f t="shared" ref="A38:A43" si="3">A37+1</f>
        <v>3</v>
      </c>
      <c r="B38" s="6" t="s">
        <v>62</v>
      </c>
      <c r="C38" s="13" t="s">
        <v>24</v>
      </c>
      <c r="F38" s="13"/>
      <c r="G38" s="14" t="s">
        <v>63</v>
      </c>
      <c r="H38" s="13"/>
      <c r="J38" s="10">
        <f>COUNTIF(G38:G1783,G38)</f>
        <v>1</v>
      </c>
      <c r="K38" s="10">
        <f>COUNTIF($B$2:B1783,B38)</f>
        <v>1</v>
      </c>
    </row>
    <row r="39" spans="1:11" ht="20.25" customHeight="1" x14ac:dyDescent="0.25">
      <c r="A39" s="10">
        <f t="shared" si="3"/>
        <v>4</v>
      </c>
      <c r="B39" s="6" t="s">
        <v>64</v>
      </c>
      <c r="C39" s="13" t="s">
        <v>23</v>
      </c>
      <c r="D39" s="11">
        <v>64</v>
      </c>
      <c r="F39" s="13"/>
      <c r="G39" s="14" t="s">
        <v>2</v>
      </c>
      <c r="H39" s="13"/>
      <c r="J39" s="10">
        <f>COUNTIF(G39:G1784,G39)</f>
        <v>1</v>
      </c>
      <c r="K39" s="10">
        <f>COUNTIF($B$2:B1784,B39)</f>
        <v>1</v>
      </c>
    </row>
    <row r="40" spans="1:11" s="68" customFormat="1" ht="20.25" customHeight="1" x14ac:dyDescent="0.25">
      <c r="A40" s="10">
        <f t="shared" si="3"/>
        <v>5</v>
      </c>
      <c r="B40" s="6" t="s">
        <v>101</v>
      </c>
      <c r="C40" s="6" t="s">
        <v>23</v>
      </c>
      <c r="D40" s="69">
        <v>64</v>
      </c>
      <c r="E40" s="70"/>
      <c r="F40" s="6"/>
      <c r="G40" s="71" t="s">
        <v>99</v>
      </c>
      <c r="H40" s="6"/>
      <c r="J40" s="68">
        <f>COUNTIF(G40:G1785,G40)</f>
        <v>1</v>
      </c>
      <c r="K40" s="68">
        <f>COUNTIF($B$2:B1785,B40)</f>
        <v>1</v>
      </c>
    </row>
    <row r="41" spans="1:11" ht="20.25" customHeight="1" x14ac:dyDescent="0.25">
      <c r="A41" s="10">
        <f t="shared" si="3"/>
        <v>6</v>
      </c>
      <c r="B41" s="6" t="s">
        <v>65</v>
      </c>
      <c r="C41" s="13" t="s">
        <v>24</v>
      </c>
      <c r="F41" s="13"/>
      <c r="G41" s="71" t="s">
        <v>144</v>
      </c>
      <c r="H41" s="13"/>
      <c r="J41" s="10">
        <f t="shared" ref="J41:J43" si="4">COUNTIF(G41:G1785,G41)</f>
        <v>1</v>
      </c>
      <c r="K41" s="10">
        <f>COUNTIF($B$2:B1785,B41)</f>
        <v>1</v>
      </c>
    </row>
    <row r="42" spans="1:11" ht="20.25" customHeight="1" x14ac:dyDescent="0.25">
      <c r="A42" s="10">
        <f t="shared" si="3"/>
        <v>7</v>
      </c>
      <c r="B42" s="6" t="s">
        <v>88</v>
      </c>
      <c r="C42" s="13" t="s">
        <v>24</v>
      </c>
      <c r="F42" s="13"/>
      <c r="G42" s="14" t="s">
        <v>89</v>
      </c>
      <c r="H42" s="13"/>
      <c r="J42" s="10">
        <f t="shared" si="4"/>
        <v>1</v>
      </c>
      <c r="K42" s="10">
        <f>COUNTIF($B$2:B1786,B42)</f>
        <v>1</v>
      </c>
    </row>
    <row r="43" spans="1:11" ht="20.25" customHeight="1" x14ac:dyDescent="0.25">
      <c r="A43" s="10">
        <f t="shared" si="3"/>
        <v>8</v>
      </c>
      <c r="B43" s="6" t="s">
        <v>66</v>
      </c>
      <c r="C43" s="13" t="s">
        <v>23</v>
      </c>
      <c r="D43" s="11">
        <v>64</v>
      </c>
      <c r="F43" s="13"/>
      <c r="G43" s="14" t="s">
        <v>67</v>
      </c>
      <c r="I43" s="15"/>
      <c r="J43" s="10">
        <f t="shared" si="4"/>
        <v>1</v>
      </c>
      <c r="K43" s="10">
        <f>COUNTIF($B$2:B1787,B43)</f>
        <v>1</v>
      </c>
    </row>
    <row r="46" spans="1:11" ht="20.25" customHeight="1" x14ac:dyDescent="0.25">
      <c r="B46" s="10"/>
    </row>
    <row r="47" spans="1:11" ht="20.25" customHeight="1" x14ac:dyDescent="0.25">
      <c r="B47" s="10"/>
    </row>
    <row r="48" spans="1:11" ht="20.25" customHeight="1" x14ac:dyDescent="0.25">
      <c r="B48" s="10"/>
    </row>
    <row r="49" spans="2:2" ht="20.25" customHeight="1" x14ac:dyDescent="0.25">
      <c r="B49" s="10"/>
    </row>
    <row r="50" spans="2:2" ht="20.25" customHeight="1" x14ac:dyDescent="0.25">
      <c r="B50" s="10"/>
    </row>
    <row r="51" spans="2:2" ht="20.25" customHeight="1" x14ac:dyDescent="0.25">
      <c r="B51" s="10"/>
    </row>
    <row r="52" spans="2:2" ht="20.25" customHeight="1" x14ac:dyDescent="0.25">
      <c r="B52" s="10"/>
    </row>
    <row r="53" spans="2:2" ht="20.25" customHeight="1" x14ac:dyDescent="0.25">
      <c r="B53" s="10"/>
    </row>
    <row r="54" spans="2:2" ht="20.25" customHeight="1" x14ac:dyDescent="0.25">
      <c r="B54" s="10"/>
    </row>
    <row r="55" spans="2:2" ht="20.25" customHeight="1" x14ac:dyDescent="0.25">
      <c r="B55" s="10"/>
    </row>
    <row r="56" spans="2:2" ht="20.25" customHeight="1" x14ac:dyDescent="0.25">
      <c r="B56" s="10"/>
    </row>
    <row r="57" spans="2:2" ht="20.25" customHeight="1" x14ac:dyDescent="0.25">
      <c r="B57" s="10"/>
    </row>
    <row r="58" spans="2:2" ht="20.25" customHeight="1" x14ac:dyDescent="0.25">
      <c r="B58" s="10"/>
    </row>
    <row r="59" spans="2:2" ht="20.25" customHeight="1" x14ac:dyDescent="0.25">
      <c r="B59" s="10"/>
    </row>
    <row r="60" spans="2:2" ht="20.25" customHeight="1" x14ac:dyDescent="0.25">
      <c r="B60" s="10"/>
    </row>
    <row r="61" spans="2:2" ht="20.25" customHeight="1" x14ac:dyDescent="0.25">
      <c r="B61" s="10"/>
    </row>
    <row r="62" spans="2:2" ht="20.25" customHeight="1" x14ac:dyDescent="0.25">
      <c r="B62" s="10"/>
    </row>
    <row r="63" spans="2:2" ht="20.25" customHeight="1" x14ac:dyDescent="0.25">
      <c r="B63" s="10"/>
    </row>
    <row r="64" spans="2:2" ht="20.25" customHeight="1" x14ac:dyDescent="0.25">
      <c r="B64" s="10"/>
    </row>
    <row r="65" spans="2:2" ht="20.25" customHeight="1" x14ac:dyDescent="0.25">
      <c r="B65" s="10"/>
    </row>
    <row r="66" spans="2:2" ht="20.25" customHeight="1" x14ac:dyDescent="0.25">
      <c r="B66" s="10"/>
    </row>
    <row r="67" spans="2:2" ht="20.25" customHeight="1" x14ac:dyDescent="0.25">
      <c r="B67" s="10"/>
    </row>
  </sheetData>
  <autoFilter ref="A1:L6" xr:uid="{00000000-0009-0000-0000-000003000000}">
    <filterColumn colId="2">
      <filters>
        <filter val="number"/>
      </filters>
    </filterColumn>
  </autoFilter>
  <sortState ref="A2:L1110">
    <sortCondition ref="B646"/>
  </sortState>
  <phoneticPr fontId="15" type="noConversion"/>
  <conditionalFormatting sqref="B68:B1048576 B1 B36 B38:B39 B9:B23 B6 B41:B45 B32">
    <cfRule type="duplicateValues" dxfId="55" priority="3157"/>
  </conditionalFormatting>
  <conditionalFormatting sqref="B37">
    <cfRule type="duplicateValues" dxfId="54" priority="166"/>
  </conditionalFormatting>
  <conditionalFormatting sqref="A1">
    <cfRule type="duplicateValues" dxfId="53" priority="121"/>
  </conditionalFormatting>
  <conditionalFormatting sqref="C1:L1">
    <cfRule type="duplicateValues" dxfId="52" priority="119"/>
  </conditionalFormatting>
  <conditionalFormatting sqref="B25">
    <cfRule type="duplicateValues" dxfId="51" priority="74"/>
  </conditionalFormatting>
  <conditionalFormatting sqref="B25">
    <cfRule type="duplicateValues" dxfId="50" priority="75"/>
  </conditionalFormatting>
  <conditionalFormatting sqref="B24">
    <cfRule type="duplicateValues" dxfId="49" priority="72"/>
  </conditionalFormatting>
  <conditionalFormatting sqref="B24">
    <cfRule type="duplicateValues" dxfId="48" priority="73"/>
  </conditionalFormatting>
  <conditionalFormatting sqref="B40">
    <cfRule type="duplicateValues" dxfId="47" priority="51"/>
  </conditionalFormatting>
  <conditionalFormatting sqref="B26">
    <cfRule type="duplicateValues" dxfId="46" priority="47"/>
  </conditionalFormatting>
  <conditionalFormatting sqref="B26">
    <cfRule type="duplicateValues" dxfId="45" priority="48"/>
  </conditionalFormatting>
  <conditionalFormatting sqref="B26">
    <cfRule type="duplicateValues" dxfId="44" priority="49"/>
  </conditionalFormatting>
  <conditionalFormatting sqref="B26">
    <cfRule type="duplicateValues" dxfId="43" priority="50"/>
  </conditionalFormatting>
  <conditionalFormatting sqref="B27">
    <cfRule type="duplicateValues" dxfId="42" priority="43"/>
  </conditionalFormatting>
  <conditionalFormatting sqref="B27">
    <cfRule type="duplicateValues" dxfId="41" priority="44"/>
  </conditionalFormatting>
  <conditionalFormatting sqref="B27">
    <cfRule type="duplicateValues" dxfId="40" priority="45"/>
  </conditionalFormatting>
  <conditionalFormatting sqref="B27">
    <cfRule type="duplicateValues" dxfId="39" priority="46"/>
  </conditionalFormatting>
  <conditionalFormatting sqref="B28">
    <cfRule type="duplicateValues" dxfId="38" priority="39"/>
  </conditionalFormatting>
  <conditionalFormatting sqref="B28">
    <cfRule type="duplicateValues" dxfId="37" priority="40"/>
  </conditionalFormatting>
  <conditionalFormatting sqref="B28">
    <cfRule type="duplicateValues" dxfId="36" priority="41"/>
  </conditionalFormatting>
  <conditionalFormatting sqref="B28">
    <cfRule type="duplicateValues" dxfId="35" priority="42"/>
  </conditionalFormatting>
  <conditionalFormatting sqref="B29">
    <cfRule type="duplicateValues" dxfId="34" priority="35"/>
  </conditionalFormatting>
  <conditionalFormatting sqref="B29">
    <cfRule type="duplicateValues" dxfId="33" priority="36"/>
  </conditionalFormatting>
  <conditionalFormatting sqref="B29">
    <cfRule type="duplicateValues" dxfId="32" priority="37"/>
  </conditionalFormatting>
  <conditionalFormatting sqref="B29">
    <cfRule type="duplicateValues" dxfId="31" priority="38"/>
  </conditionalFormatting>
  <conditionalFormatting sqref="B30">
    <cfRule type="duplicateValues" dxfId="30" priority="31"/>
  </conditionalFormatting>
  <conditionalFormatting sqref="B30">
    <cfRule type="duplicateValues" dxfId="29" priority="32"/>
  </conditionalFormatting>
  <conditionalFormatting sqref="B30">
    <cfRule type="duplicateValues" dxfId="28" priority="33"/>
  </conditionalFormatting>
  <conditionalFormatting sqref="B30">
    <cfRule type="duplicateValues" dxfId="27" priority="34"/>
  </conditionalFormatting>
  <conditionalFormatting sqref="B31">
    <cfRule type="duplicateValues" dxfId="26" priority="27"/>
  </conditionalFormatting>
  <conditionalFormatting sqref="B31">
    <cfRule type="duplicateValues" dxfId="25" priority="28"/>
  </conditionalFormatting>
  <conditionalFormatting sqref="B31">
    <cfRule type="duplicateValues" dxfId="24" priority="29"/>
  </conditionalFormatting>
  <conditionalFormatting sqref="B31">
    <cfRule type="duplicateValues" dxfId="23" priority="30"/>
  </conditionalFormatting>
  <conditionalFormatting sqref="B5">
    <cfRule type="duplicateValues" dxfId="22" priority="25"/>
  </conditionalFormatting>
  <conditionalFormatting sqref="B5">
    <cfRule type="duplicateValues" dxfId="21" priority="26"/>
  </conditionalFormatting>
  <conditionalFormatting sqref="B33:B34">
    <cfRule type="duplicateValues" dxfId="20" priority="16"/>
  </conditionalFormatting>
  <conditionalFormatting sqref="B7">
    <cfRule type="duplicateValues" dxfId="19" priority="6"/>
  </conditionalFormatting>
  <conditionalFormatting sqref="B7">
    <cfRule type="duplicateValues" dxfId="18" priority="7"/>
  </conditionalFormatting>
  <conditionalFormatting sqref="B3:B4">
    <cfRule type="duplicateValues" dxfId="17" priority="3496"/>
  </conditionalFormatting>
  <conditionalFormatting sqref="B3:B4">
    <cfRule type="duplicateValues" dxfId="16" priority="3497"/>
  </conditionalFormatting>
  <dataValidations disablePrompts="1" count="1">
    <dataValidation type="list" allowBlank="1" showInputMessage="1" showErrorMessage="1" sqref="C9:C1048576 C3:C7" xr:uid="{00000000-0002-0000-0300-000000000000}">
      <formula1>"char,varchar2,integer,number,clob,date"</formula1>
    </dataValidation>
  </dataValidations>
  <pageMargins left="0.69930555555555596" right="0.69930555555555596" top="0.75" bottom="0.75" header="0.3" footer="0.3"/>
  <pageSetup paperSize="9" orientation="portrait" horizontalDpi="2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L625"/>
  <sheetViews>
    <sheetView tabSelected="1" workbookViewId="0">
      <selection activeCell="B5" sqref="B5"/>
    </sheetView>
  </sheetViews>
  <sheetFormatPr defaultColWidth="9" defaultRowHeight="14.4" x14ac:dyDescent="0.25"/>
  <cols>
    <col min="1" max="1" width="5.33203125" style="2" customWidth="1"/>
    <col min="2" max="2" width="25.44140625" style="2" customWidth="1"/>
    <col min="3" max="4" width="9" style="2"/>
    <col min="5" max="5" width="28.33203125" style="2" customWidth="1"/>
    <col min="6" max="6" width="5.21875" style="2" customWidth="1"/>
    <col min="7" max="7" width="26.6640625" style="2" customWidth="1"/>
    <col min="8" max="8" width="18.77734375" style="2" customWidth="1"/>
    <col min="9" max="10" width="9" style="2"/>
    <col min="11" max="16384" width="9" style="3"/>
  </cols>
  <sheetData>
    <row r="1" spans="1:12" s="1" customFormat="1" ht="21" customHeight="1" x14ac:dyDescent="0.25">
      <c r="A1" s="28" t="s">
        <v>69</v>
      </c>
      <c r="B1" s="4" t="str">
        <f ca="1">MID(CELL("filename",$A$1),FIND("]",CELL("filename"))+1,300)</f>
        <v>SYS_USER</v>
      </c>
      <c r="C1" s="28" t="s">
        <v>70</v>
      </c>
      <c r="D1" s="77" t="str">
        <f ca="1">VLOOKUP($B1,index!$B$2:$F$848,5,FALSE)</f>
        <v>系统用户表</v>
      </c>
      <c r="E1" s="77"/>
      <c r="F1" s="77"/>
      <c r="G1" s="77"/>
      <c r="H1" s="28" t="s">
        <v>77</v>
      </c>
      <c r="I1" s="77"/>
      <c r="J1" s="77"/>
      <c r="K1" s="77"/>
    </row>
    <row r="2" spans="1:12" x14ac:dyDescent="0.25">
      <c r="A2" s="28" t="s">
        <v>78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1"/>
    </row>
    <row r="3" spans="1:12" ht="43.2" x14ac:dyDescent="0.25">
      <c r="A3" s="5" t="s">
        <v>13</v>
      </c>
      <c r="B3" s="5" t="s">
        <v>14</v>
      </c>
      <c r="C3" s="5" t="s">
        <v>9</v>
      </c>
      <c r="D3" s="5" t="s">
        <v>15</v>
      </c>
      <c r="E3" s="5" t="s">
        <v>16</v>
      </c>
      <c r="F3" s="5" t="s">
        <v>79</v>
      </c>
      <c r="G3" s="5" t="s">
        <v>70</v>
      </c>
      <c r="H3" s="5" t="s">
        <v>5</v>
      </c>
      <c r="I3" s="5" t="s">
        <v>19</v>
      </c>
      <c r="J3" s="5" t="s">
        <v>80</v>
      </c>
      <c r="K3" s="5" t="s">
        <v>68</v>
      </c>
    </row>
    <row r="4" spans="1:12" s="1" customFormat="1" x14ac:dyDescent="0.25">
      <c r="A4" s="45">
        <f>ROW()-3</f>
        <v>1</v>
      </c>
      <c r="B4" s="53" t="s">
        <v>28</v>
      </c>
      <c r="C4" s="43" t="str">
        <f>IF(VLOOKUP($B4,data_dict!$B$2:$I$372,2,FALSE)=0,"",VLOOKUP($B4,data_dict!$B$2:$I$350,2,FALSE))</f>
        <v>varchar2</v>
      </c>
      <c r="D4" s="43">
        <f>IF(VLOOKUP($B4,data_dict!$B$2:$I$372,3,FALSE)=0,"",VLOOKUP($B4,data_dict!$B$2:$I$350,3,FALSE))</f>
        <v>64</v>
      </c>
      <c r="E4" s="43" t="str">
        <f>IF(VLOOKUP($B4,data_dict!$B$2:$I$372,4,FALSE)=0,"",VLOOKUP($B4,data_dict!$B$2:$I$350,4,FALSE))</f>
        <v/>
      </c>
      <c r="F4" s="43" t="s">
        <v>29</v>
      </c>
      <c r="G4" s="54" t="str">
        <f>IF(VLOOKUP($B4,data_dict!$B$2:$I$372,6,FALSE)=0,"",VLOOKUP($B4,data_dict!$B$2:$I$350,6,FALSE))</f>
        <v>编号</v>
      </c>
      <c r="H4" s="39"/>
      <c r="I4" s="39"/>
      <c r="J4" s="39"/>
      <c r="K4" s="37" t="s">
        <v>84</v>
      </c>
    </row>
    <row r="5" spans="1:12" s="1" customFormat="1" x14ac:dyDescent="0.25">
      <c r="A5" s="52">
        <f t="shared" ref="A5:A12" si="0">ROW()-3</f>
        <v>2</v>
      </c>
      <c r="B5" s="53" t="s">
        <v>90</v>
      </c>
      <c r="C5" s="47" t="str">
        <f>IF(VLOOKUP($B5,data_dict!$B$2:$I$498,2,FALSE)=0,"",VLOOKUP($B5,data_dict!$B$2:$I$498,2,FALSE))</f>
        <v>varchar2</v>
      </c>
      <c r="D5" s="47">
        <f>IF(VLOOKUP($B5,data_dict!$B$2:$I$498,3,FALSE)=0,"",VLOOKUP($B5,data_dict!$B$2:$I$498,3,FALSE))</f>
        <v>64</v>
      </c>
      <c r="E5" s="47" t="str">
        <f>IF(VLOOKUP($B5,data_dict!$B$2:$I$498,4,FALSE)=0,"",VLOOKUP($B5,data_dict!$B$2:$I$498,4,FALSE))</f>
        <v/>
      </c>
      <c r="F5" s="47"/>
      <c r="G5" s="54" t="str">
        <f>IF(VLOOKUP($B5,data_dict!$B$2:$I$498,6,FALSE)=0,"",VLOOKUP($B5,data_dict!$B$2:$I$498,6,FALSE))</f>
        <v>系统编号</v>
      </c>
      <c r="H5" s="35" t="s">
        <v>82</v>
      </c>
      <c r="I5" s="35" t="s">
        <v>82</v>
      </c>
      <c r="J5" s="35"/>
      <c r="K5" s="34"/>
    </row>
    <row r="6" spans="1:12" s="1" customFormat="1" x14ac:dyDescent="0.25">
      <c r="A6" s="52">
        <f t="shared" si="0"/>
        <v>3</v>
      </c>
      <c r="B6" s="46" t="s">
        <v>91</v>
      </c>
      <c r="C6" s="47" t="str">
        <f>IF(VLOOKUP($B6,data_dict!$B$2:$I$498,2,FALSE)=0,"",VLOOKUP($B6,data_dict!$B$2:$I$498,2,FALSE))</f>
        <v>varchar2</v>
      </c>
      <c r="D6" s="47">
        <f>IF(VLOOKUP($B6,data_dict!$B$2:$I$498,3,FALSE)=0,"",VLOOKUP($B6,data_dict!$B$2:$I$498,3,FALSE))</f>
        <v>256</v>
      </c>
      <c r="E6" s="47" t="str">
        <f>IF(VLOOKUP($B6,data_dict!$B$2:$I$498,4,FALSE)=0,"",VLOOKUP($B6,data_dict!$B$2:$I$498,4,FALSE))</f>
        <v/>
      </c>
      <c r="F6" s="54"/>
      <c r="G6" s="54" t="str">
        <f>IF(VLOOKUP($B6,data_dict!$B$2:$I$498,6,FALSE)=0,"",VLOOKUP($B6,data_dict!$B$2:$I$498,6,FALSE))</f>
        <v>系统名称</v>
      </c>
      <c r="H6" s="36"/>
      <c r="I6" s="35" t="s">
        <v>82</v>
      </c>
      <c r="J6" s="35"/>
      <c r="K6" s="34"/>
    </row>
    <row r="7" spans="1:12" s="1" customFormat="1" x14ac:dyDescent="0.25">
      <c r="A7" s="52">
        <f t="shared" si="0"/>
        <v>4</v>
      </c>
      <c r="B7" s="46" t="s">
        <v>60</v>
      </c>
      <c r="C7" s="47" t="str">
        <f>IF(VLOOKUP($B7,data_dict!$B$2:$I$498,2,FALSE)=0,"",VLOOKUP($B7,data_dict!$B$2:$I$498,2,FALSE))</f>
        <v>varchar2</v>
      </c>
      <c r="D7" s="47">
        <f>IF(VLOOKUP($B7,data_dict!$B$2:$I$498,3,FALSE)=0,"",VLOOKUP($B7,data_dict!$B$2:$I$498,3,FALSE))</f>
        <v>64</v>
      </c>
      <c r="E7" s="47" t="str">
        <f>IF(VLOOKUP($B7,data_dict!$B$2:$I$498,4,FALSE)=0,"",VLOOKUP($B7,data_dict!$B$2:$I$498,4,FALSE))</f>
        <v/>
      </c>
      <c r="F7" s="47"/>
      <c r="G7" s="54" t="str">
        <f>IF(VLOOKUP($B7,data_dict!$B$2:$I$498,6,FALSE)=0,"",VLOOKUP($B7,data_dict!$B$2:$I$498,6,FALSE))</f>
        <v>创建人</v>
      </c>
      <c r="I7" s="35" t="s">
        <v>82</v>
      </c>
      <c r="J7" s="35"/>
      <c r="K7" s="34"/>
    </row>
    <row r="8" spans="1:12" s="1" customFormat="1" x14ac:dyDescent="0.25">
      <c r="A8" s="52">
        <f t="shared" si="0"/>
        <v>5</v>
      </c>
      <c r="B8" s="53" t="s">
        <v>103</v>
      </c>
      <c r="C8" s="54" t="str">
        <f>IF(VLOOKUP($B8,data_dict!$B$2:$I$498,2,FALSE)=0,"",VLOOKUP($B8,data_dict!$B$2:$I$498,2,FALSE))</f>
        <v>varchar2</v>
      </c>
      <c r="D8" s="54">
        <f>IF(VLOOKUP($B8,data_dict!$B$2:$I$498,3,FALSE)=0,"",VLOOKUP($B8,data_dict!$B$2:$I$498,3,FALSE))</f>
        <v>64</v>
      </c>
      <c r="E8" s="54" t="str">
        <f>IF(VLOOKUP($B8,data_dict!$B$2:$I$498,4,FALSE)=0,"",VLOOKUP($B8,data_dict!$B$2:$I$498,4,FALSE))</f>
        <v/>
      </c>
      <c r="F8" s="54"/>
      <c r="G8" s="54" t="str">
        <f>IF(VLOOKUP($B8,data_dict!$B$2:$I$498,6,FALSE)=0,"",VLOOKUP($B8,data_dict!$B$2:$I$498,6,FALSE))</f>
        <v>创建部门</v>
      </c>
      <c r="I8" s="39" t="s">
        <v>82</v>
      </c>
      <c r="J8" s="39"/>
      <c r="K8" s="38"/>
    </row>
    <row r="9" spans="1:12" s="1" customFormat="1" x14ac:dyDescent="0.25">
      <c r="A9" s="52">
        <f t="shared" si="0"/>
        <v>6</v>
      </c>
      <c r="B9" s="46" t="s">
        <v>62</v>
      </c>
      <c r="C9" s="47" t="str">
        <f>IF(VLOOKUP($B9,data_dict!$B$2:$I$498,2,FALSE)=0,"",VLOOKUP($B9,data_dict!$B$2:$I$498,2,FALSE))</f>
        <v>date</v>
      </c>
      <c r="D9" s="47" t="str">
        <f>IF(VLOOKUP($B9,data_dict!$B$2:$I$498,3,FALSE)=0,"",VLOOKUP($B9,data_dict!$B$2:$I$498,3,FALSE))</f>
        <v/>
      </c>
      <c r="E9" s="47" t="str">
        <f>IF(VLOOKUP($B9,data_dict!$B$2:$I$498,4,FALSE)=0,"",VLOOKUP($B9,data_dict!$B$2:$I$498,4,FALSE))</f>
        <v/>
      </c>
      <c r="F9" s="47"/>
      <c r="G9" s="54" t="str">
        <f>IF(VLOOKUP($B9,data_dict!$B$2:$I$498,6,FALSE)=0,"",VLOOKUP($B9,data_dict!$B$2:$I$498,6,FALSE))</f>
        <v>创建日期</v>
      </c>
      <c r="H9" s="39" t="s">
        <v>82</v>
      </c>
      <c r="I9" s="39" t="s">
        <v>82</v>
      </c>
      <c r="J9" s="39"/>
      <c r="K9" s="35" t="s">
        <v>82</v>
      </c>
    </row>
    <row r="10" spans="1:12" x14ac:dyDescent="0.25">
      <c r="A10" s="52">
        <f t="shared" si="0"/>
        <v>7</v>
      </c>
      <c r="B10" s="53" t="s">
        <v>83</v>
      </c>
      <c r="C10" s="47" t="str">
        <f>IF(VLOOKUP($B10,data_dict!$B$2:$I$498,2,FALSE)=0,"",VLOOKUP($B10,data_dict!$B$2:$I$498,2,FALSE))</f>
        <v>varchar2</v>
      </c>
      <c r="D10" s="47">
        <f>IF(VLOOKUP($B10,data_dict!$B$2:$I$498,3,FALSE)=0,"",VLOOKUP($B10,data_dict!$B$2:$I$498,3,FALSE))</f>
        <v>64</v>
      </c>
      <c r="E10" s="47" t="str">
        <f>IF(VLOOKUP($B10,data_dict!$B$2:$I$498,4,FALSE)=0,"",VLOOKUP($B10,data_dict!$B$2:$I$498,4,FALSE))</f>
        <v/>
      </c>
      <c r="F10" s="47"/>
      <c r="G10" s="54" t="str">
        <f>IF(VLOOKUP($B10,data_dict!$B$2:$I$498,6,FALSE)=0,"",VLOOKUP($B10,data_dict!$B$2:$I$498,6,FALSE))</f>
        <v>修改人</v>
      </c>
      <c r="H10" s="1"/>
      <c r="I10" s="39" t="s">
        <v>82</v>
      </c>
      <c r="J10" s="39"/>
      <c r="K10" s="38"/>
    </row>
    <row r="11" spans="1:12" s="1" customFormat="1" x14ac:dyDescent="0.25">
      <c r="A11" s="52">
        <f t="shared" si="0"/>
        <v>8</v>
      </c>
      <c r="B11" s="53" t="s">
        <v>102</v>
      </c>
      <c r="C11" s="54" t="str">
        <f>IF(VLOOKUP($B11,data_dict!$B$2:$I$498,2,FALSE)=0,"",VLOOKUP($B11,data_dict!$B$2:$I$498,2,FALSE))</f>
        <v>varchar2</v>
      </c>
      <c r="D11" s="54">
        <f>IF(VLOOKUP($B11,data_dict!$B$2:$I$498,3,FALSE)=0,"",VLOOKUP($B11,data_dict!$B$2:$I$498,3,FALSE))</f>
        <v>64</v>
      </c>
      <c r="E11" s="54" t="str">
        <f>IF(VLOOKUP($B11,data_dict!$B$2:$I$498,4,FALSE)=0,"",VLOOKUP($B11,data_dict!$B$2:$I$498,4,FALSE))</f>
        <v/>
      </c>
      <c r="F11" s="54"/>
      <c r="G11" s="54" t="str">
        <f>IF(VLOOKUP($B11,data_dict!$B$2:$I$498,6,FALSE)=0,"",VLOOKUP($B11,data_dict!$B$2:$I$498,6,FALSE))</f>
        <v>修改部门</v>
      </c>
      <c r="I11" s="39" t="s">
        <v>82</v>
      </c>
      <c r="J11" s="39"/>
      <c r="K11" s="38"/>
    </row>
    <row r="12" spans="1:12" x14ac:dyDescent="0.25">
      <c r="A12" s="52">
        <f t="shared" si="0"/>
        <v>9</v>
      </c>
      <c r="B12" s="46" t="s">
        <v>65</v>
      </c>
      <c r="C12" s="47" t="str">
        <f>IF(VLOOKUP($B12,data_dict!$B$2:$I$498,2,FALSE)=0,"",VLOOKUP($B12,data_dict!$B$2:$I$498,2,FALSE))</f>
        <v>date</v>
      </c>
      <c r="D12" s="47" t="str">
        <f>IF(VLOOKUP($B12,data_dict!$B$2:$I$498,3,FALSE)=0,"",VLOOKUP($B12,data_dict!$B$2:$I$498,3,FALSE))</f>
        <v/>
      </c>
      <c r="E12" s="47" t="str">
        <f>IF(VLOOKUP($B12,data_dict!$B$2:$I$498,4,FALSE)=0,"",VLOOKUP($B12,data_dict!$B$2:$I$498,4,FALSE))</f>
        <v/>
      </c>
      <c r="F12" s="47"/>
      <c r="G12" s="54" t="str">
        <f>IF(VLOOKUP($B12,data_dict!$B$2:$I$498,6,FALSE)=0,"",VLOOKUP($B12,data_dict!$B$2:$I$498,6,FALSE))</f>
        <v>修改日期</v>
      </c>
      <c r="H12" s="39" t="s">
        <v>82</v>
      </c>
      <c r="I12" s="39" t="s">
        <v>82</v>
      </c>
      <c r="J12" s="39"/>
      <c r="K12" s="39" t="s">
        <v>82</v>
      </c>
    </row>
    <row r="13" spans="1:12" x14ac:dyDescent="0.25">
      <c r="A13" s="1"/>
      <c r="B13" s="1"/>
      <c r="C13" s="1"/>
      <c r="D13" s="1"/>
      <c r="E13" s="1"/>
      <c r="F13" s="1"/>
      <c r="G13" s="1"/>
      <c r="H13" s="41"/>
      <c r="I13" s="7"/>
      <c r="J13" s="7"/>
      <c r="K13" s="1"/>
    </row>
    <row r="14" spans="1:12" x14ac:dyDescent="0.25">
      <c r="A14" s="1"/>
      <c r="B14" s="44" t="s">
        <v>75</v>
      </c>
      <c r="C14" s="44" t="s">
        <v>76</v>
      </c>
      <c r="D14" s="1"/>
      <c r="E14" s="1"/>
      <c r="F14" s="1"/>
      <c r="G14" s="1"/>
      <c r="H14" s="1"/>
      <c r="I14" s="1"/>
      <c r="J14" s="1"/>
    </row>
    <row r="15" spans="1:12" x14ac:dyDescent="0.25">
      <c r="A15" s="1"/>
      <c r="B15" s="1"/>
      <c r="C15" s="1"/>
      <c r="D15" s="1"/>
      <c r="E15" s="1"/>
      <c r="F15" s="1"/>
      <c r="G15" s="1"/>
      <c r="H15" s="7"/>
      <c r="I15" s="1"/>
      <c r="J15" s="1"/>
    </row>
    <row r="16" spans="1:1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</row>
    <row r="17" spans="1:10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</row>
    <row r="18" spans="1:10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</row>
    <row r="19" spans="1:10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</row>
    <row r="20" spans="1:10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</row>
    <row r="21" spans="1:10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</row>
    <row r="22" spans="1:10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</row>
    <row r="23" spans="1:10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</row>
    <row r="24" spans="1:10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</row>
    <row r="25" spans="1:10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</row>
    <row r="26" spans="1:10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</row>
    <row r="27" spans="1:10" x14ac:dyDescent="0.25">
      <c r="A27" s="1"/>
      <c r="B27" s="30"/>
      <c r="C27" s="1"/>
      <c r="D27" s="1"/>
      <c r="E27" s="1"/>
      <c r="F27" s="1"/>
      <c r="G27" s="1"/>
      <c r="H27" s="1"/>
      <c r="I27" s="1"/>
      <c r="J27" s="1"/>
    </row>
    <row r="28" spans="1:10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10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</row>
    <row r="30" spans="1:10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</row>
    <row r="31" spans="1:1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</row>
    <row r="32" spans="1:1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</row>
    <row r="33" spans="1:10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</row>
    <row r="34" spans="1:10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</row>
    <row r="35" spans="1:10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</row>
    <row r="36" spans="1:10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</row>
    <row r="37" spans="1:10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</row>
    <row r="38" spans="1:10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</row>
    <row r="39" spans="1:1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</row>
    <row r="40" spans="1:1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</row>
    <row r="41" spans="1:10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</row>
    <row r="42" spans="1:10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</row>
    <row r="43" spans="1:10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</row>
    <row r="44" spans="1:10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</row>
    <row r="45" spans="1:10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spans="1:10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spans="1:10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spans="1:10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</row>
    <row r="49" spans="1:10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</row>
    <row r="50" spans="1:10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</row>
    <row r="51" spans="1:10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</row>
    <row r="52" spans="1:10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</row>
    <row r="53" spans="1:10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</row>
    <row r="54" spans="1:10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</row>
    <row r="55" spans="1:10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</row>
    <row r="56" spans="1:10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</row>
    <row r="57" spans="1:10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</row>
    <row r="58" spans="1:10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</row>
    <row r="59" spans="1:10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</row>
    <row r="60" spans="1:10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</row>
    <row r="61" spans="1:10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</row>
    <row r="62" spans="1:10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</row>
    <row r="63" spans="1:10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</row>
    <row r="64" spans="1:10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</row>
    <row r="65" spans="1:10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</row>
    <row r="66" spans="1:10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</row>
    <row r="67" spans="1:10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</row>
    <row r="68" spans="1:10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</row>
    <row r="69" spans="1:10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</row>
    <row r="70" spans="1:10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</row>
    <row r="71" spans="1:10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</row>
    <row r="72" spans="1:10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</row>
    <row r="73" spans="1:10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</row>
    <row r="74" spans="1:10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</row>
    <row r="75" spans="1:10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</row>
    <row r="76" spans="1:10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</row>
    <row r="77" spans="1:10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</row>
    <row r="78" spans="1:10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</row>
    <row r="79" spans="1:10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</row>
    <row r="80" spans="1:10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</row>
    <row r="81" spans="1:10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</row>
    <row r="82" spans="1:10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</row>
    <row r="83" spans="1:10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</row>
    <row r="84" spans="1:10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</row>
    <row r="85" spans="1:10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</row>
    <row r="86" spans="1:10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</row>
    <row r="87" spans="1:10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</row>
    <row r="88" spans="1:10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</row>
    <row r="89" spans="1:10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</row>
    <row r="90" spans="1:10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</row>
    <row r="91" spans="1:10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</row>
    <row r="92" spans="1:10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</row>
    <row r="93" spans="1:10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</row>
    <row r="94" spans="1:10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</row>
    <row r="95" spans="1:10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</row>
    <row r="96" spans="1:10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</row>
    <row r="97" spans="1:10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</row>
    <row r="98" spans="1:10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</row>
    <row r="99" spans="1:10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</row>
    <row r="100" spans="1:10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</row>
    <row r="101" spans="1:10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</row>
    <row r="102" spans="1:10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</row>
    <row r="103" spans="1:10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</row>
    <row r="104" spans="1:10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</row>
    <row r="105" spans="1:10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</row>
    <row r="106" spans="1:10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</row>
    <row r="107" spans="1:10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</row>
    <row r="108" spans="1:10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</row>
    <row r="109" spans="1:10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</row>
    <row r="110" spans="1:10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</row>
    <row r="111" spans="1:10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</row>
    <row r="112" spans="1:10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</row>
    <row r="113" spans="1:10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</row>
    <row r="114" spans="1:10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</row>
    <row r="115" spans="1:10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</row>
    <row r="116" spans="1:10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</row>
    <row r="117" spans="1:10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</row>
    <row r="118" spans="1:10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</row>
    <row r="119" spans="1:10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</row>
    <row r="120" spans="1:10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</row>
    <row r="121" spans="1:10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</row>
    <row r="122" spans="1:10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</row>
    <row r="123" spans="1:10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</row>
    <row r="124" spans="1:10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</row>
    <row r="125" spans="1:10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</row>
    <row r="126" spans="1:10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</row>
    <row r="127" spans="1:10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</row>
    <row r="128" spans="1:10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</row>
    <row r="129" spans="1:10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</row>
    <row r="130" spans="1:10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</row>
    <row r="131" spans="1:10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</row>
    <row r="132" spans="1:10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</row>
    <row r="133" spans="1:10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</row>
    <row r="134" spans="1:10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</row>
    <row r="135" spans="1:10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</row>
    <row r="136" spans="1:10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</row>
    <row r="137" spans="1:10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</row>
    <row r="138" spans="1:10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</row>
    <row r="139" spans="1:10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</row>
    <row r="140" spans="1:10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</row>
    <row r="141" spans="1:10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</row>
    <row r="142" spans="1:10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</row>
    <row r="143" spans="1:10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</row>
    <row r="144" spans="1:10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</row>
    <row r="145" spans="1:10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</row>
    <row r="146" spans="1:10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</row>
    <row r="147" spans="1:10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</row>
    <row r="148" spans="1:10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</row>
    <row r="149" spans="1:10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</row>
    <row r="150" spans="1:10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</row>
    <row r="151" spans="1:10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</row>
    <row r="152" spans="1:10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</row>
    <row r="153" spans="1:10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</row>
    <row r="154" spans="1:10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</row>
    <row r="155" spans="1:10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</row>
    <row r="156" spans="1:10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</row>
    <row r="157" spans="1:10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</row>
    <row r="158" spans="1:10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</row>
    <row r="159" spans="1:10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</row>
    <row r="160" spans="1:10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</row>
    <row r="161" spans="1:10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</row>
    <row r="162" spans="1:10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</row>
    <row r="163" spans="1:10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</row>
    <row r="164" spans="1:10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</row>
    <row r="165" spans="1:10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</row>
    <row r="166" spans="1:10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</row>
    <row r="167" spans="1:10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</row>
    <row r="168" spans="1:10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</row>
    <row r="169" spans="1:10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</row>
    <row r="170" spans="1:10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</row>
    <row r="171" spans="1:10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</row>
    <row r="172" spans="1:10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</row>
    <row r="173" spans="1:10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</row>
    <row r="174" spans="1:10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</row>
    <row r="175" spans="1:10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</row>
    <row r="176" spans="1:10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</row>
    <row r="177" spans="1:10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</row>
    <row r="178" spans="1:10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</row>
    <row r="179" spans="1:10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</row>
    <row r="180" spans="1:10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</row>
    <row r="181" spans="1:10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</row>
    <row r="182" spans="1:10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</row>
    <row r="183" spans="1:10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</row>
    <row r="184" spans="1:10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</row>
    <row r="185" spans="1:10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</row>
    <row r="186" spans="1:10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</row>
    <row r="187" spans="1:10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</row>
    <row r="188" spans="1:10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</row>
    <row r="189" spans="1:10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</row>
    <row r="190" spans="1:10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</row>
    <row r="191" spans="1:10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</row>
    <row r="192" spans="1:10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</row>
    <row r="193" spans="1:10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</row>
    <row r="194" spans="1:10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</row>
    <row r="195" spans="1:10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</row>
    <row r="196" spans="1:10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</row>
    <row r="197" spans="1:10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</row>
    <row r="198" spans="1:10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</row>
    <row r="199" spans="1:10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</row>
    <row r="200" spans="1:10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</row>
    <row r="201" spans="1:10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</row>
    <row r="202" spans="1:10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</row>
    <row r="203" spans="1:10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</row>
    <row r="204" spans="1:10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</row>
    <row r="205" spans="1:10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</row>
    <row r="206" spans="1:10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</row>
    <row r="207" spans="1:10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</row>
    <row r="208" spans="1:10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</row>
    <row r="209" spans="1:10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</row>
    <row r="210" spans="1:10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</row>
    <row r="211" spans="1:10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</row>
    <row r="212" spans="1:10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</row>
    <row r="213" spans="1:10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</row>
    <row r="214" spans="1:10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</row>
    <row r="215" spans="1:10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</row>
    <row r="216" spans="1:10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</row>
    <row r="217" spans="1:10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</row>
    <row r="218" spans="1:10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</row>
    <row r="219" spans="1:10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</row>
    <row r="220" spans="1:10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</row>
    <row r="221" spans="1:10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</row>
    <row r="222" spans="1:10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</row>
    <row r="223" spans="1:10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</row>
    <row r="224" spans="1:10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</row>
    <row r="225" spans="1:10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</row>
    <row r="226" spans="1:10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</row>
    <row r="227" spans="1:10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</row>
    <row r="228" spans="1:10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</row>
    <row r="229" spans="1:10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</row>
    <row r="230" spans="1:10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</row>
    <row r="231" spans="1:10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</row>
    <row r="232" spans="1:10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</row>
    <row r="233" spans="1:10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</row>
    <row r="234" spans="1:10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</row>
    <row r="235" spans="1:10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</row>
    <row r="236" spans="1:10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</row>
    <row r="237" spans="1:10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</row>
    <row r="238" spans="1:10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</row>
    <row r="239" spans="1:10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</row>
    <row r="240" spans="1:10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</row>
    <row r="241" spans="1:10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</row>
    <row r="242" spans="1:10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</row>
    <row r="243" spans="1:10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</row>
    <row r="244" spans="1:10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</row>
    <row r="245" spans="1:10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</row>
    <row r="246" spans="1:10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</row>
    <row r="247" spans="1:10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</row>
    <row r="248" spans="1:10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</row>
    <row r="249" spans="1:10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</row>
    <row r="250" spans="1:10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</row>
    <row r="251" spans="1:10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</row>
    <row r="252" spans="1:10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</row>
    <row r="253" spans="1:10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</row>
    <row r="254" spans="1:10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</row>
    <row r="255" spans="1:10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</row>
    <row r="256" spans="1:10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</row>
    <row r="257" spans="1:10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</row>
    <row r="258" spans="1:10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</row>
    <row r="259" spans="1:10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</row>
    <row r="260" spans="1:10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</row>
    <row r="261" spans="1:10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</row>
    <row r="262" spans="1:10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</row>
    <row r="263" spans="1:10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</row>
    <row r="264" spans="1:10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</row>
    <row r="265" spans="1:10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</row>
    <row r="266" spans="1:10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</row>
    <row r="267" spans="1:10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</row>
    <row r="268" spans="1:10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</row>
    <row r="269" spans="1:10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</row>
    <row r="270" spans="1:10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</row>
    <row r="271" spans="1:10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</row>
    <row r="272" spans="1:10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</row>
    <row r="273" spans="1:10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</row>
    <row r="274" spans="1:10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</row>
    <row r="275" spans="1:10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</row>
    <row r="276" spans="1:10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</row>
    <row r="277" spans="1:10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</row>
    <row r="278" spans="1:10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</row>
    <row r="279" spans="1:10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</row>
    <row r="280" spans="1:10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</row>
    <row r="281" spans="1:10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</row>
    <row r="282" spans="1:10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</row>
    <row r="283" spans="1:10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</row>
    <row r="284" spans="1:10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</row>
    <row r="285" spans="1:10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</row>
    <row r="286" spans="1:10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</row>
    <row r="287" spans="1:10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</row>
    <row r="288" spans="1:10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</row>
    <row r="289" spans="1:10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</row>
    <row r="290" spans="1:10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</row>
    <row r="291" spans="1:10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</row>
    <row r="292" spans="1:10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</row>
    <row r="293" spans="1:10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</row>
    <row r="294" spans="1:10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</row>
    <row r="295" spans="1:10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</row>
    <row r="296" spans="1:10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</row>
    <row r="297" spans="1:10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</row>
    <row r="298" spans="1:10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</row>
    <row r="299" spans="1:10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</row>
    <row r="300" spans="1:10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</row>
    <row r="301" spans="1:10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</row>
    <row r="302" spans="1:10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</row>
    <row r="303" spans="1:10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</row>
    <row r="304" spans="1:10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</row>
    <row r="305" spans="1:10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</row>
    <row r="306" spans="1:10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</row>
    <row r="307" spans="1:10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</row>
    <row r="308" spans="1:10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</row>
    <row r="309" spans="1:10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</row>
    <row r="310" spans="1:10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</row>
    <row r="311" spans="1:10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</row>
    <row r="312" spans="1:10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</row>
    <row r="313" spans="1:10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</row>
    <row r="314" spans="1:10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</row>
    <row r="315" spans="1:10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</row>
    <row r="316" spans="1:10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</row>
    <row r="317" spans="1:10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</row>
    <row r="318" spans="1:10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</row>
    <row r="319" spans="1:10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</row>
    <row r="320" spans="1:10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</row>
    <row r="321" spans="1:10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</row>
    <row r="322" spans="1:10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</row>
    <row r="323" spans="1:10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</row>
    <row r="324" spans="1:10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</row>
    <row r="325" spans="1:10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</row>
    <row r="326" spans="1:10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</row>
    <row r="327" spans="1:10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</row>
    <row r="328" spans="1:10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</row>
    <row r="329" spans="1:10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</row>
    <row r="330" spans="1:10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</row>
    <row r="331" spans="1:10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</row>
    <row r="332" spans="1:10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</row>
    <row r="333" spans="1:10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</row>
    <row r="334" spans="1:10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</row>
    <row r="335" spans="1:10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</row>
    <row r="336" spans="1:10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</row>
    <row r="337" spans="1:10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</row>
    <row r="338" spans="1:10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</row>
    <row r="339" spans="1:10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</row>
    <row r="340" spans="1:10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</row>
    <row r="341" spans="1:10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</row>
    <row r="342" spans="1:10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</row>
    <row r="343" spans="1:10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</row>
    <row r="344" spans="1:10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</row>
    <row r="345" spans="1:10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</row>
    <row r="346" spans="1:10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</row>
    <row r="347" spans="1:10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</row>
    <row r="348" spans="1:10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</row>
    <row r="349" spans="1:10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</row>
    <row r="350" spans="1:10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</row>
    <row r="351" spans="1:10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</row>
    <row r="352" spans="1:10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</row>
    <row r="353" spans="1:10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</row>
    <row r="354" spans="1:10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</row>
    <row r="355" spans="1:10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</row>
    <row r="356" spans="1:10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</row>
    <row r="357" spans="1:10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</row>
    <row r="358" spans="1:10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</row>
    <row r="359" spans="1:10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</row>
    <row r="360" spans="1:10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</row>
    <row r="361" spans="1:10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</row>
    <row r="362" spans="1:10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</row>
    <row r="363" spans="1:10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</row>
    <row r="364" spans="1:10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</row>
    <row r="365" spans="1:10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</row>
    <row r="366" spans="1:10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</row>
    <row r="367" spans="1:10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</row>
    <row r="368" spans="1:10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</row>
    <row r="369" spans="1:10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</row>
    <row r="370" spans="1:10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</row>
    <row r="371" spans="1:10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</row>
    <row r="372" spans="1:10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</row>
    <row r="373" spans="1:10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</row>
    <row r="374" spans="1:10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</row>
    <row r="375" spans="1:10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</row>
    <row r="376" spans="1:10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</row>
    <row r="377" spans="1:10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</row>
    <row r="378" spans="1:10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</row>
    <row r="379" spans="1:10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</row>
    <row r="380" spans="1:10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</row>
    <row r="381" spans="1:10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</row>
    <row r="382" spans="1:10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</row>
    <row r="383" spans="1:10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</row>
    <row r="384" spans="1:10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</row>
    <row r="385" spans="1:10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</row>
    <row r="386" spans="1:10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</row>
    <row r="387" spans="1:10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</row>
    <row r="388" spans="1:10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</row>
    <row r="389" spans="1:10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</row>
    <row r="390" spans="1:10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</row>
    <row r="391" spans="1:10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</row>
    <row r="392" spans="1:10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</row>
    <row r="393" spans="1:10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</row>
    <row r="394" spans="1:10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</row>
    <row r="395" spans="1:10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</row>
    <row r="396" spans="1:10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</row>
    <row r="397" spans="1:10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</row>
    <row r="398" spans="1:10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</row>
    <row r="399" spans="1:10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</row>
    <row r="400" spans="1:10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</row>
    <row r="401" spans="1:10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</row>
    <row r="402" spans="1:10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</row>
    <row r="403" spans="1:10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</row>
    <row r="404" spans="1:10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</row>
    <row r="405" spans="1:10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</row>
    <row r="406" spans="1:10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</row>
    <row r="407" spans="1:10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</row>
    <row r="408" spans="1:10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</row>
    <row r="409" spans="1:10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</row>
    <row r="410" spans="1:10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</row>
    <row r="411" spans="1:10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</row>
    <row r="412" spans="1:10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</row>
    <row r="413" spans="1:10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</row>
    <row r="414" spans="1:10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</row>
    <row r="415" spans="1:10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</row>
    <row r="416" spans="1:10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</row>
    <row r="417" spans="1:10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</row>
    <row r="418" spans="1:10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</row>
    <row r="419" spans="1:10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</row>
    <row r="420" spans="1:10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</row>
    <row r="421" spans="1:10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</row>
    <row r="422" spans="1:10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</row>
    <row r="423" spans="1:10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</row>
    <row r="424" spans="1:10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</row>
    <row r="425" spans="1:10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</row>
    <row r="426" spans="1:10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</row>
    <row r="427" spans="1:10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</row>
    <row r="428" spans="1:10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</row>
    <row r="429" spans="1:10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</row>
    <row r="430" spans="1:10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</row>
    <row r="431" spans="1:10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</row>
    <row r="432" spans="1:10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</row>
    <row r="433" spans="1:10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</row>
    <row r="434" spans="1:10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</row>
    <row r="435" spans="1:10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</row>
    <row r="436" spans="1:10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</row>
    <row r="437" spans="1:10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</row>
    <row r="438" spans="1:10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</row>
    <row r="439" spans="1:10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</row>
    <row r="440" spans="1:10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</row>
    <row r="441" spans="1:10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</row>
    <row r="442" spans="1:10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</row>
    <row r="443" spans="1:10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</row>
    <row r="444" spans="1:10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</row>
    <row r="445" spans="1:10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</row>
    <row r="446" spans="1:10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</row>
    <row r="447" spans="1:10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</row>
    <row r="448" spans="1:10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</row>
    <row r="449" spans="1:10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</row>
    <row r="450" spans="1:10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</row>
    <row r="451" spans="1:10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</row>
    <row r="452" spans="1:10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</row>
    <row r="453" spans="1:10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</row>
    <row r="454" spans="1:10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</row>
    <row r="455" spans="1:10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</row>
    <row r="456" spans="1:10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</row>
    <row r="457" spans="1:10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</row>
    <row r="458" spans="1:10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</row>
    <row r="459" spans="1:10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</row>
    <row r="460" spans="1:10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</row>
    <row r="461" spans="1:10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</row>
    <row r="462" spans="1:10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</row>
    <row r="463" spans="1:10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</row>
    <row r="464" spans="1:10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</row>
    <row r="465" spans="1:10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</row>
    <row r="466" spans="1:10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</row>
    <row r="467" spans="1:10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</row>
    <row r="468" spans="1:10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</row>
    <row r="469" spans="1:10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</row>
    <row r="470" spans="1:10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</row>
    <row r="471" spans="1:10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</row>
    <row r="472" spans="1:10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</row>
    <row r="473" spans="1:10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</row>
    <row r="474" spans="1:10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</row>
    <row r="475" spans="1:10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</row>
    <row r="476" spans="1:10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</row>
    <row r="477" spans="1:10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</row>
    <row r="478" spans="1:10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</row>
    <row r="479" spans="1:10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</row>
    <row r="480" spans="1:10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</row>
    <row r="481" spans="1:10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</row>
    <row r="482" spans="1:10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</row>
    <row r="483" spans="1:10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</row>
    <row r="484" spans="1:10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</row>
    <row r="485" spans="1:10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</row>
    <row r="486" spans="1:10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</row>
    <row r="487" spans="1:10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</row>
    <row r="488" spans="1:10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</row>
    <row r="489" spans="1:10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</row>
    <row r="490" spans="1:10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</row>
    <row r="491" spans="1:10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</row>
    <row r="492" spans="1:10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</row>
    <row r="493" spans="1:10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</row>
    <row r="494" spans="1:10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</row>
    <row r="495" spans="1:10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</row>
    <row r="496" spans="1:10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</row>
    <row r="497" spans="1:10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</row>
    <row r="498" spans="1:10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</row>
    <row r="499" spans="1:10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</row>
    <row r="500" spans="1:10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</row>
    <row r="501" spans="1:10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</row>
    <row r="502" spans="1:10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</row>
    <row r="503" spans="1:10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</row>
    <row r="504" spans="1:10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</row>
    <row r="505" spans="1:10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</row>
    <row r="506" spans="1:10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</row>
    <row r="507" spans="1:10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</row>
    <row r="508" spans="1:10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</row>
    <row r="509" spans="1:10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</row>
    <row r="510" spans="1:10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</row>
    <row r="511" spans="1:10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</row>
    <row r="512" spans="1:10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</row>
    <row r="513" spans="1:10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</row>
    <row r="514" spans="1:10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</row>
    <row r="515" spans="1:10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</row>
    <row r="516" spans="1:10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</row>
    <row r="517" spans="1:10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</row>
    <row r="518" spans="1:10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</row>
    <row r="519" spans="1:10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</row>
    <row r="520" spans="1:10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</row>
    <row r="521" spans="1:10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</row>
    <row r="522" spans="1:10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</row>
    <row r="523" spans="1:10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</row>
    <row r="524" spans="1:10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</row>
    <row r="525" spans="1:10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</row>
    <row r="526" spans="1:10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</row>
    <row r="527" spans="1:10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</row>
    <row r="528" spans="1:10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</row>
    <row r="529" spans="1:10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</row>
    <row r="530" spans="1:10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</row>
    <row r="531" spans="1:10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</row>
    <row r="532" spans="1:10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</row>
    <row r="533" spans="1:10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</row>
    <row r="534" spans="1:10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</row>
    <row r="535" spans="1:10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</row>
    <row r="536" spans="1:10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</row>
    <row r="537" spans="1:10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</row>
    <row r="538" spans="1:10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</row>
    <row r="539" spans="1:10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</row>
    <row r="540" spans="1:10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</row>
    <row r="541" spans="1:10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</row>
    <row r="542" spans="1:10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</row>
    <row r="543" spans="1:10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</row>
    <row r="544" spans="1:10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</row>
    <row r="545" spans="1:10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</row>
    <row r="546" spans="1:10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</row>
    <row r="547" spans="1:10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</row>
    <row r="548" spans="1:10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</row>
    <row r="549" spans="1:10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</row>
    <row r="550" spans="1:10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</row>
    <row r="551" spans="1:10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</row>
    <row r="552" spans="1:10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</row>
    <row r="553" spans="1:10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</row>
    <row r="554" spans="1:10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</row>
    <row r="555" spans="1:10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</row>
    <row r="556" spans="1:10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</row>
    <row r="557" spans="1:10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</row>
    <row r="558" spans="1:10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</row>
    <row r="559" spans="1:10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</row>
    <row r="560" spans="1:10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</row>
    <row r="561" spans="1:10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</row>
    <row r="562" spans="1:10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</row>
    <row r="563" spans="1:10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</row>
    <row r="564" spans="1:10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</row>
    <row r="565" spans="1:10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</row>
    <row r="566" spans="1:10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</row>
    <row r="567" spans="1:10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</row>
    <row r="568" spans="1:10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</row>
    <row r="569" spans="1:10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</row>
    <row r="570" spans="1:10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</row>
    <row r="571" spans="1:10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</row>
    <row r="572" spans="1:10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</row>
    <row r="573" spans="1:10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</row>
    <row r="574" spans="1:10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</row>
    <row r="575" spans="1:10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</row>
    <row r="576" spans="1:10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</row>
    <row r="577" spans="1:10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</row>
    <row r="578" spans="1:10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</row>
    <row r="579" spans="1:10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</row>
    <row r="580" spans="1:10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</row>
    <row r="581" spans="1:10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</row>
    <row r="582" spans="1:10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</row>
    <row r="583" spans="1:10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</row>
    <row r="584" spans="1:10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</row>
    <row r="585" spans="1:10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</row>
    <row r="586" spans="1:10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</row>
    <row r="587" spans="1:10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</row>
    <row r="588" spans="1:10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</row>
    <row r="589" spans="1:10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</row>
    <row r="590" spans="1:10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</row>
    <row r="591" spans="1:10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</row>
    <row r="592" spans="1:10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</row>
    <row r="593" spans="1:10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</row>
    <row r="594" spans="1:10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</row>
    <row r="595" spans="1:10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</row>
    <row r="596" spans="1:10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</row>
    <row r="597" spans="1:10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</row>
    <row r="598" spans="1:10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</row>
    <row r="599" spans="1:10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</row>
    <row r="600" spans="1:10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</row>
    <row r="601" spans="1:10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</row>
    <row r="602" spans="1:10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</row>
    <row r="603" spans="1:10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</row>
    <row r="604" spans="1:10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</row>
    <row r="605" spans="1:10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</row>
    <row r="606" spans="1:10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</row>
    <row r="607" spans="1:10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</row>
    <row r="608" spans="1:10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</row>
    <row r="609" spans="1:10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</row>
    <row r="610" spans="1:10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</row>
    <row r="611" spans="1:10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</row>
    <row r="612" spans="1:10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</row>
    <row r="613" spans="1:10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</row>
    <row r="614" spans="1:10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</row>
    <row r="615" spans="1:10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</row>
    <row r="616" spans="1:10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</row>
    <row r="617" spans="1:10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</row>
    <row r="618" spans="1:10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</row>
    <row r="619" spans="1:10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</row>
    <row r="620" spans="1:10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</row>
    <row r="621" spans="1:10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</row>
    <row r="622" spans="1:10" x14ac:dyDescent="0.25">
      <c r="H622" s="1"/>
      <c r="I622" s="1"/>
      <c r="J622" s="1"/>
    </row>
    <row r="623" spans="1:10" x14ac:dyDescent="0.25">
      <c r="H623" s="1"/>
      <c r="I623" s="1"/>
      <c r="J623" s="1"/>
    </row>
    <row r="624" spans="1:10" x14ac:dyDescent="0.25">
      <c r="H624" s="1"/>
      <c r="I624" s="1"/>
      <c r="J624" s="1"/>
    </row>
    <row r="625" spans="8:8" x14ac:dyDescent="0.25">
      <c r="H625" s="1"/>
    </row>
  </sheetData>
  <mergeCells count="3">
    <mergeCell ref="D1:G1"/>
    <mergeCell ref="I1:K1"/>
    <mergeCell ref="B2:K2"/>
  </mergeCells>
  <phoneticPr fontId="15" type="noConversion"/>
  <conditionalFormatting sqref="B9:B10 B12:B14">
    <cfRule type="duplicateValues" dxfId="15" priority="53"/>
  </conditionalFormatting>
  <conditionalFormatting sqref="B14">
    <cfRule type="duplicateValues" dxfId="14" priority="43"/>
  </conditionalFormatting>
  <conditionalFormatting sqref="B8">
    <cfRule type="duplicateValues" dxfId="13" priority="21"/>
  </conditionalFormatting>
  <conditionalFormatting sqref="B8">
    <cfRule type="duplicateValues" dxfId="12" priority="22"/>
  </conditionalFormatting>
  <conditionalFormatting sqref="B11">
    <cfRule type="duplicateValues" dxfId="11" priority="19"/>
  </conditionalFormatting>
  <conditionalFormatting sqref="B11">
    <cfRule type="duplicateValues" dxfId="10" priority="20"/>
  </conditionalFormatting>
  <conditionalFormatting sqref="B4:B7">
    <cfRule type="duplicateValues" dxfId="9" priority="3499"/>
  </conditionalFormatting>
  <conditionalFormatting sqref="B4:B7">
    <cfRule type="duplicateValues" dxfId="8" priority="3501"/>
  </conditionalFormatting>
  <hyperlinks>
    <hyperlink ref="B14" location="index!A1" display="返回" xr:uid="{00000000-0004-0000-0400-000000000000}"/>
    <hyperlink ref="C14" location="data_dict!A1" display="数据字典" xr:uid="{00000000-0004-0000-0400-000001000000}"/>
  </hyperlinks>
  <pageMargins left="0.69930555555555596" right="0.69930555555555596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E3812-834A-4FE4-9ED1-32BB305811CB}">
  <sheetPr codeName="Sheet17"/>
  <dimension ref="A1:L626"/>
  <sheetViews>
    <sheetView workbookViewId="0">
      <selection activeCell="A7" sqref="A7:XFD7"/>
    </sheetView>
  </sheetViews>
  <sheetFormatPr defaultColWidth="9" defaultRowHeight="14.4" x14ac:dyDescent="0.25"/>
  <cols>
    <col min="1" max="1" width="5.33203125" style="2" customWidth="1"/>
    <col min="2" max="2" width="25.44140625" style="2" customWidth="1"/>
    <col min="3" max="4" width="9" style="2"/>
    <col min="5" max="5" width="28.33203125" style="2" customWidth="1"/>
    <col min="6" max="6" width="5.21875" style="2" customWidth="1"/>
    <col min="7" max="7" width="26.6640625" style="2" customWidth="1"/>
    <col min="8" max="8" width="18.77734375" style="2" customWidth="1"/>
    <col min="9" max="10" width="9" style="2"/>
    <col min="11" max="16384" width="9" style="3"/>
  </cols>
  <sheetData>
    <row r="1" spans="1:12" s="1" customFormat="1" ht="21" customHeight="1" x14ac:dyDescent="0.25">
      <c r="A1" s="72" t="s">
        <v>69</v>
      </c>
      <c r="B1" s="4" t="str">
        <f ca="1">MID(CELL("filename",$A$1),FIND("]",CELL("filename"))+1,300)</f>
        <v>SYS_ROLE</v>
      </c>
      <c r="C1" s="72" t="s">
        <v>70</v>
      </c>
      <c r="D1" s="77" t="str">
        <f ca="1">VLOOKUP($B1,index!$B$2:$F$848,5,FALSE)</f>
        <v>角色表</v>
      </c>
      <c r="E1" s="77"/>
      <c r="F1" s="77"/>
      <c r="G1" s="77"/>
      <c r="H1" s="72" t="s">
        <v>71</v>
      </c>
      <c r="I1" s="77"/>
      <c r="J1" s="77"/>
      <c r="K1" s="77"/>
    </row>
    <row r="2" spans="1:12" x14ac:dyDescent="0.25">
      <c r="A2" s="72" t="s">
        <v>72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1"/>
    </row>
    <row r="3" spans="1:12" ht="43.2" x14ac:dyDescent="0.25">
      <c r="A3" s="5" t="s">
        <v>13</v>
      </c>
      <c r="B3" s="5" t="s">
        <v>14</v>
      </c>
      <c r="C3" s="5" t="s">
        <v>9</v>
      </c>
      <c r="D3" s="5" t="s">
        <v>15</v>
      </c>
      <c r="E3" s="5" t="s">
        <v>16</v>
      </c>
      <c r="F3" s="5" t="s">
        <v>73</v>
      </c>
      <c r="G3" s="5" t="s">
        <v>70</v>
      </c>
      <c r="H3" s="5" t="s">
        <v>5</v>
      </c>
      <c r="I3" s="5" t="s">
        <v>19</v>
      </c>
      <c r="J3" s="5" t="s">
        <v>74</v>
      </c>
      <c r="K3" s="5" t="s">
        <v>68</v>
      </c>
    </row>
    <row r="4" spans="1:12" s="1" customFormat="1" x14ac:dyDescent="0.25">
      <c r="A4" s="52">
        <f>ROW()-3</f>
        <v>1</v>
      </c>
      <c r="B4" s="53" t="s">
        <v>28</v>
      </c>
      <c r="C4" s="50" t="str">
        <f>IF(VLOOKUP($B4,data_dict!$B$2:$I$372,2,FALSE)=0,"",VLOOKUP($B4,data_dict!$B$2:$I$350,2,FALSE))</f>
        <v>varchar2</v>
      </c>
      <c r="D4" s="50">
        <f>IF(VLOOKUP($B4,data_dict!$B$2:$I$372,3,FALSE)=0,"",VLOOKUP($B4,data_dict!$B$2:$I$350,3,FALSE))</f>
        <v>64</v>
      </c>
      <c r="E4" s="50" t="str">
        <f>IF(VLOOKUP($B4,data_dict!$B$2:$I$372,4,FALSE)=0,"",VLOOKUP($B4,data_dict!$B$2:$I$350,4,FALSE))</f>
        <v/>
      </c>
      <c r="F4" s="50" t="s">
        <v>29</v>
      </c>
      <c r="G4" s="54" t="str">
        <f>IF(VLOOKUP($B4,data_dict!$B$2:$I$372,6,FALSE)=0,"",VLOOKUP($B4,data_dict!$B$2:$I$350,6,FALSE))</f>
        <v>编号</v>
      </c>
      <c r="H4" s="39"/>
      <c r="I4" s="39"/>
      <c r="J4" s="39"/>
      <c r="K4" s="37" t="s">
        <v>84</v>
      </c>
    </row>
    <row r="5" spans="1:12" s="1" customFormat="1" x14ac:dyDescent="0.25">
      <c r="A5" s="52">
        <f t="shared" ref="A5:A13" si="0">ROW()-3</f>
        <v>2</v>
      </c>
      <c r="B5" s="53" t="s">
        <v>90</v>
      </c>
      <c r="C5" s="54" t="str">
        <f>IF(VLOOKUP($B5,data_dict!$B$2:$I$498,2,FALSE)=0,"",VLOOKUP($B5,data_dict!$B$2:$I$498,2,FALSE))</f>
        <v>varchar2</v>
      </c>
      <c r="D5" s="54">
        <f>IF(VLOOKUP($B5,data_dict!$B$2:$I$498,3,FALSE)=0,"",VLOOKUP($B5,data_dict!$B$2:$I$498,3,FALSE))</f>
        <v>64</v>
      </c>
      <c r="E5" s="54" t="str">
        <f>IF(VLOOKUP($B5,data_dict!$B$2:$I$498,4,FALSE)=0,"",VLOOKUP($B5,data_dict!$B$2:$I$498,4,FALSE))</f>
        <v/>
      </c>
      <c r="F5" s="54"/>
      <c r="G5" s="54" t="str">
        <f>IF(VLOOKUP($B5,data_dict!$B$2:$I$498,6,FALSE)=0,"",VLOOKUP($B5,data_dict!$B$2:$I$498,6,FALSE))</f>
        <v>系统编号</v>
      </c>
      <c r="H5" s="39" t="s">
        <v>82</v>
      </c>
      <c r="I5" s="39" t="s">
        <v>82</v>
      </c>
      <c r="J5" s="39"/>
      <c r="K5" s="38"/>
    </row>
    <row r="6" spans="1:12" s="1" customFormat="1" x14ac:dyDescent="0.25">
      <c r="A6" s="52">
        <f t="shared" si="0"/>
        <v>3</v>
      </c>
      <c r="B6" s="53" t="s">
        <v>91</v>
      </c>
      <c r="C6" s="54" t="str">
        <f>IF(VLOOKUP($B6,data_dict!$B$2:$I$498,2,FALSE)=0,"",VLOOKUP($B6,data_dict!$B$2:$I$498,2,FALSE))</f>
        <v>varchar2</v>
      </c>
      <c r="D6" s="54">
        <f>IF(VLOOKUP($B6,data_dict!$B$2:$I$498,3,FALSE)=0,"",VLOOKUP($B6,data_dict!$B$2:$I$498,3,FALSE))</f>
        <v>256</v>
      </c>
      <c r="E6" s="54" t="str">
        <f>IF(VLOOKUP($B6,data_dict!$B$2:$I$498,4,FALSE)=0,"",VLOOKUP($B6,data_dict!$B$2:$I$498,4,FALSE))</f>
        <v/>
      </c>
      <c r="F6" s="54"/>
      <c r="G6" s="54" t="str">
        <f>IF(VLOOKUP($B6,data_dict!$B$2:$I$498,6,FALSE)=0,"",VLOOKUP($B6,data_dict!$B$2:$I$498,6,FALSE))</f>
        <v>系统名称</v>
      </c>
      <c r="H6" s="40"/>
      <c r="I6" s="39" t="s">
        <v>82</v>
      </c>
      <c r="J6" s="39"/>
      <c r="K6" s="38"/>
    </row>
    <row r="7" spans="1:12" s="1" customFormat="1" x14ac:dyDescent="0.25">
      <c r="A7" s="52">
        <f t="shared" si="0"/>
        <v>4</v>
      </c>
      <c r="B7" s="53" t="s">
        <v>66</v>
      </c>
      <c r="C7" s="54" t="str">
        <f>IF(VLOOKUP($B7,data_dict!$B$2:$I$498,2,FALSE)=0,"",VLOOKUP($B7,data_dict!$B$2:$I$498,2,FALSE))</f>
        <v>varchar2</v>
      </c>
      <c r="D7" s="54">
        <f>IF(VLOOKUP($B7,data_dict!$B$2:$I$498,3,FALSE)=0,"",VLOOKUP($B7,data_dict!$B$2:$I$498,3,FALSE))</f>
        <v>64</v>
      </c>
      <c r="E7" s="54" t="str">
        <f>IF(VLOOKUP($B7,data_dict!$B$2:$I$498,4,FALSE)=0,"",VLOOKUP($B7,data_dict!$B$2:$I$498,4,FALSE))</f>
        <v/>
      </c>
      <c r="F7" s="54"/>
      <c r="G7" s="54" t="str">
        <f>IF(VLOOKUP($B7,data_dict!$B$2:$I$498,6,FALSE)=0,"",VLOOKUP($B7,data_dict!$B$2:$I$498,6,FALSE))</f>
        <v>实体编号</v>
      </c>
      <c r="H7" s="39"/>
      <c r="I7" s="39"/>
      <c r="J7" s="39"/>
      <c r="K7" s="38"/>
    </row>
    <row r="8" spans="1:12" s="1" customFormat="1" x14ac:dyDescent="0.25">
      <c r="A8" s="52">
        <f t="shared" si="0"/>
        <v>5</v>
      </c>
      <c r="B8" s="53" t="s">
        <v>60</v>
      </c>
      <c r="C8" s="54" t="str">
        <f>IF(VLOOKUP($B8,data_dict!$B$2:$I$498,2,FALSE)=0,"",VLOOKUP($B8,data_dict!$B$2:$I$498,2,FALSE))</f>
        <v>varchar2</v>
      </c>
      <c r="D8" s="54">
        <f>IF(VLOOKUP($B8,data_dict!$B$2:$I$498,3,FALSE)=0,"",VLOOKUP($B8,data_dict!$B$2:$I$498,3,FALSE))</f>
        <v>64</v>
      </c>
      <c r="E8" s="54" t="str">
        <f>IF(VLOOKUP($B8,data_dict!$B$2:$I$498,4,FALSE)=0,"",VLOOKUP($B8,data_dict!$B$2:$I$498,4,FALSE))</f>
        <v/>
      </c>
      <c r="F8" s="54"/>
      <c r="G8" s="54" t="str">
        <f>IF(VLOOKUP($B8,data_dict!$B$2:$I$498,6,FALSE)=0,"",VLOOKUP($B8,data_dict!$B$2:$I$498,6,FALSE))</f>
        <v>创建人</v>
      </c>
      <c r="I8" s="39" t="s">
        <v>82</v>
      </c>
      <c r="J8" s="39"/>
      <c r="K8" s="38"/>
    </row>
    <row r="9" spans="1:12" s="1" customFormat="1" x14ac:dyDescent="0.25">
      <c r="A9" s="52">
        <f t="shared" si="0"/>
        <v>6</v>
      </c>
      <c r="B9" s="53" t="s">
        <v>87</v>
      </c>
      <c r="C9" s="54" t="str">
        <f>IF(VLOOKUP($B9,data_dict!$B$2:$I$498,2,FALSE)=0,"",VLOOKUP($B9,data_dict!$B$2:$I$498,2,FALSE))</f>
        <v>varchar2</v>
      </c>
      <c r="D9" s="54">
        <f>IF(VLOOKUP($B9,data_dict!$B$2:$I$498,3,FALSE)=0,"",VLOOKUP($B9,data_dict!$B$2:$I$498,3,FALSE))</f>
        <v>64</v>
      </c>
      <c r="E9" s="54" t="str">
        <f>IF(VLOOKUP($B9,data_dict!$B$2:$I$498,4,FALSE)=0,"",VLOOKUP($B9,data_dict!$B$2:$I$498,4,FALSE))</f>
        <v/>
      </c>
      <c r="F9" s="54"/>
      <c r="G9" s="54" t="str">
        <f>IF(VLOOKUP($B9,data_dict!$B$2:$I$498,6,FALSE)=0,"",VLOOKUP($B9,data_dict!$B$2:$I$498,6,FALSE))</f>
        <v>创建部门</v>
      </c>
      <c r="I9" s="39" t="s">
        <v>82</v>
      </c>
      <c r="J9" s="39"/>
      <c r="K9" s="38"/>
    </row>
    <row r="10" spans="1:12" s="1" customFormat="1" x14ac:dyDescent="0.25">
      <c r="A10" s="52">
        <f t="shared" si="0"/>
        <v>7</v>
      </c>
      <c r="B10" s="53" t="s">
        <v>62</v>
      </c>
      <c r="C10" s="54" t="str">
        <f>IF(VLOOKUP($B10,data_dict!$B$2:$I$498,2,FALSE)=0,"",VLOOKUP($B10,data_dict!$B$2:$I$498,2,FALSE))</f>
        <v>date</v>
      </c>
      <c r="D10" s="54" t="str">
        <f>IF(VLOOKUP($B10,data_dict!$B$2:$I$498,3,FALSE)=0,"",VLOOKUP($B10,data_dict!$B$2:$I$498,3,FALSE))</f>
        <v/>
      </c>
      <c r="E10" s="54" t="str">
        <f>IF(VLOOKUP($B10,data_dict!$B$2:$I$498,4,FALSE)=0,"",VLOOKUP($B10,data_dict!$B$2:$I$498,4,FALSE))</f>
        <v/>
      </c>
      <c r="F10" s="54"/>
      <c r="G10" s="54" t="str">
        <f>IF(VLOOKUP($B10,data_dict!$B$2:$I$498,6,FALSE)=0,"",VLOOKUP($B10,data_dict!$B$2:$I$498,6,FALSE))</f>
        <v>创建日期</v>
      </c>
      <c r="H10" s="39" t="s">
        <v>82</v>
      </c>
      <c r="I10" s="39" t="s">
        <v>82</v>
      </c>
      <c r="J10" s="39"/>
      <c r="K10" s="39" t="s">
        <v>82</v>
      </c>
    </row>
    <row r="11" spans="1:12" x14ac:dyDescent="0.25">
      <c r="A11" s="52">
        <f t="shared" si="0"/>
        <v>8</v>
      </c>
      <c r="B11" s="53" t="s">
        <v>83</v>
      </c>
      <c r="C11" s="54" t="str">
        <f>IF(VLOOKUP($B11,data_dict!$B$2:$I$498,2,FALSE)=0,"",VLOOKUP($B11,data_dict!$B$2:$I$498,2,FALSE))</f>
        <v>varchar2</v>
      </c>
      <c r="D11" s="54">
        <f>IF(VLOOKUP($B11,data_dict!$B$2:$I$498,3,FALSE)=0,"",VLOOKUP($B11,data_dict!$B$2:$I$498,3,FALSE))</f>
        <v>64</v>
      </c>
      <c r="E11" s="54" t="str">
        <f>IF(VLOOKUP($B11,data_dict!$B$2:$I$498,4,FALSE)=0,"",VLOOKUP($B11,data_dict!$B$2:$I$498,4,FALSE))</f>
        <v/>
      </c>
      <c r="F11" s="54"/>
      <c r="G11" s="54" t="str">
        <f>IF(VLOOKUP($B11,data_dict!$B$2:$I$498,6,FALSE)=0,"",VLOOKUP($B11,data_dict!$B$2:$I$498,6,FALSE))</f>
        <v>修改人</v>
      </c>
      <c r="H11" s="1"/>
      <c r="I11" s="39" t="s">
        <v>82</v>
      </c>
      <c r="J11" s="39"/>
      <c r="K11" s="38"/>
    </row>
    <row r="12" spans="1:12" s="1" customFormat="1" x14ac:dyDescent="0.25">
      <c r="A12" s="52">
        <f t="shared" si="0"/>
        <v>9</v>
      </c>
      <c r="B12" s="53" t="s">
        <v>101</v>
      </c>
      <c r="C12" s="54" t="str">
        <f>IF(VLOOKUP($B12,data_dict!$B$2:$I$498,2,FALSE)=0,"",VLOOKUP($B12,data_dict!$B$2:$I$498,2,FALSE))</f>
        <v>varchar2</v>
      </c>
      <c r="D12" s="54">
        <f>IF(VLOOKUP($B12,data_dict!$B$2:$I$498,3,FALSE)=0,"",VLOOKUP($B12,data_dict!$B$2:$I$498,3,FALSE))</f>
        <v>64</v>
      </c>
      <c r="E12" s="54" t="str">
        <f>IF(VLOOKUP($B12,data_dict!$B$2:$I$498,4,FALSE)=0,"",VLOOKUP($B12,data_dict!$B$2:$I$498,4,FALSE))</f>
        <v/>
      </c>
      <c r="F12" s="54"/>
      <c r="G12" s="54" t="str">
        <f>IF(VLOOKUP($B12,data_dict!$B$2:$I$498,6,FALSE)=0,"",VLOOKUP($B12,data_dict!$B$2:$I$498,6,FALSE))</f>
        <v>修改部门</v>
      </c>
      <c r="I12" s="39" t="s">
        <v>82</v>
      </c>
      <c r="J12" s="39"/>
      <c r="K12" s="38"/>
    </row>
    <row r="13" spans="1:12" x14ac:dyDescent="0.25">
      <c r="A13" s="52">
        <f t="shared" si="0"/>
        <v>10</v>
      </c>
      <c r="B13" s="53" t="s">
        <v>65</v>
      </c>
      <c r="C13" s="54" t="str">
        <f>IF(VLOOKUP($B13,data_dict!$B$2:$I$498,2,FALSE)=0,"",VLOOKUP($B13,data_dict!$B$2:$I$498,2,FALSE))</f>
        <v>date</v>
      </c>
      <c r="D13" s="54" t="str">
        <f>IF(VLOOKUP($B13,data_dict!$B$2:$I$498,3,FALSE)=0,"",VLOOKUP($B13,data_dict!$B$2:$I$498,3,FALSE))</f>
        <v/>
      </c>
      <c r="E13" s="54" t="str">
        <f>IF(VLOOKUP($B13,data_dict!$B$2:$I$498,4,FALSE)=0,"",VLOOKUP($B13,data_dict!$B$2:$I$498,4,FALSE))</f>
        <v/>
      </c>
      <c r="F13" s="54"/>
      <c r="G13" s="54" t="str">
        <f>IF(VLOOKUP($B13,data_dict!$B$2:$I$498,6,FALSE)=0,"",VLOOKUP($B13,data_dict!$B$2:$I$498,6,FALSE))</f>
        <v>修改日期</v>
      </c>
      <c r="H13" s="39" t="s">
        <v>82</v>
      </c>
      <c r="I13" s="39" t="s">
        <v>82</v>
      </c>
      <c r="J13" s="39"/>
      <c r="K13" s="39" t="s">
        <v>82</v>
      </c>
    </row>
    <row r="14" spans="1:12" x14ac:dyDescent="0.25">
      <c r="A14" s="1"/>
      <c r="B14" s="1"/>
      <c r="C14" s="1"/>
      <c r="D14" s="1"/>
      <c r="E14" s="1"/>
      <c r="F14" s="1"/>
      <c r="G14" s="1"/>
      <c r="H14" s="41"/>
      <c r="I14" s="7"/>
      <c r="J14" s="7"/>
      <c r="K14" s="1"/>
    </row>
    <row r="15" spans="1:12" x14ac:dyDescent="0.25">
      <c r="A15" s="1"/>
      <c r="B15" s="51" t="s">
        <v>75</v>
      </c>
      <c r="C15" s="51" t="s">
        <v>76</v>
      </c>
      <c r="D15" s="1"/>
      <c r="E15" s="1"/>
      <c r="F15" s="1"/>
      <c r="G15" s="1"/>
      <c r="H15" s="1"/>
      <c r="I15" s="1"/>
      <c r="J15" s="1"/>
    </row>
    <row r="16" spans="1:12" x14ac:dyDescent="0.25">
      <c r="A16" s="1"/>
      <c r="B16" s="1"/>
      <c r="C16" s="1"/>
      <c r="D16" s="1"/>
      <c r="E16" s="1"/>
      <c r="F16" s="1"/>
      <c r="G16" s="1"/>
      <c r="H16" s="7"/>
      <c r="I16" s="1"/>
      <c r="J16" s="1"/>
    </row>
    <row r="17" spans="1:10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</row>
    <row r="18" spans="1:10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</row>
    <row r="19" spans="1:10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</row>
    <row r="20" spans="1:10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</row>
    <row r="21" spans="1:10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</row>
    <row r="22" spans="1:10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</row>
    <row r="23" spans="1:10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</row>
    <row r="24" spans="1:10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</row>
    <row r="25" spans="1:10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</row>
    <row r="26" spans="1:10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</row>
    <row r="27" spans="1:10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</row>
    <row r="28" spans="1:10" x14ac:dyDescent="0.25">
      <c r="A28" s="1"/>
      <c r="B28" s="30"/>
      <c r="C28" s="1"/>
      <c r="D28" s="1"/>
      <c r="E28" s="1"/>
      <c r="F28" s="1"/>
      <c r="G28" s="1"/>
      <c r="H28" s="1"/>
      <c r="I28" s="1"/>
      <c r="J28" s="1"/>
    </row>
    <row r="29" spans="1:10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</row>
    <row r="30" spans="1:10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</row>
    <row r="31" spans="1:1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</row>
    <row r="32" spans="1:1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</row>
    <row r="33" spans="1:10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</row>
    <row r="34" spans="1:10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</row>
    <row r="35" spans="1:10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</row>
    <row r="36" spans="1:10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</row>
    <row r="37" spans="1:10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</row>
    <row r="38" spans="1:10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</row>
    <row r="39" spans="1:1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</row>
    <row r="40" spans="1:1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</row>
    <row r="41" spans="1:10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</row>
    <row r="42" spans="1:10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</row>
    <row r="43" spans="1:10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</row>
    <row r="44" spans="1:10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</row>
    <row r="45" spans="1:10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spans="1:10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spans="1:10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spans="1:10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</row>
    <row r="49" spans="1:10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</row>
    <row r="50" spans="1:10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</row>
    <row r="51" spans="1:10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</row>
    <row r="52" spans="1:10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</row>
    <row r="53" spans="1:10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</row>
    <row r="54" spans="1:10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</row>
    <row r="55" spans="1:10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</row>
    <row r="56" spans="1:10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</row>
    <row r="57" spans="1:10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</row>
    <row r="58" spans="1:10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</row>
    <row r="59" spans="1:10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</row>
    <row r="60" spans="1:10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</row>
    <row r="61" spans="1:10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</row>
    <row r="62" spans="1:10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</row>
    <row r="63" spans="1:10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</row>
    <row r="64" spans="1:10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</row>
    <row r="65" spans="1:10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</row>
    <row r="66" spans="1:10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</row>
    <row r="67" spans="1:10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</row>
    <row r="68" spans="1:10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</row>
    <row r="69" spans="1:10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</row>
    <row r="70" spans="1:10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</row>
    <row r="71" spans="1:10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</row>
    <row r="72" spans="1:10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</row>
    <row r="73" spans="1:10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</row>
    <row r="74" spans="1:10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</row>
    <row r="75" spans="1:10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</row>
    <row r="76" spans="1:10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</row>
    <row r="77" spans="1:10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</row>
    <row r="78" spans="1:10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</row>
    <row r="79" spans="1:10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</row>
    <row r="80" spans="1:10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</row>
    <row r="81" spans="1:10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</row>
    <row r="82" spans="1:10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</row>
    <row r="83" spans="1:10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</row>
    <row r="84" spans="1:10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</row>
    <row r="85" spans="1:10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</row>
    <row r="86" spans="1:10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</row>
    <row r="87" spans="1:10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</row>
    <row r="88" spans="1:10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</row>
    <row r="89" spans="1:10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</row>
    <row r="90" spans="1:10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</row>
    <row r="91" spans="1:10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</row>
    <row r="92" spans="1:10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</row>
    <row r="93" spans="1:10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</row>
    <row r="94" spans="1:10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</row>
    <row r="95" spans="1:10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</row>
    <row r="96" spans="1:10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</row>
    <row r="97" spans="1:10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</row>
    <row r="98" spans="1:10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</row>
    <row r="99" spans="1:10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</row>
    <row r="100" spans="1:10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</row>
    <row r="101" spans="1:10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</row>
    <row r="102" spans="1:10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</row>
    <row r="103" spans="1:10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</row>
    <row r="104" spans="1:10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</row>
    <row r="105" spans="1:10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</row>
    <row r="106" spans="1:10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</row>
    <row r="107" spans="1:10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</row>
    <row r="108" spans="1:10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</row>
    <row r="109" spans="1:10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</row>
    <row r="110" spans="1:10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</row>
    <row r="111" spans="1:10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</row>
    <row r="112" spans="1:10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</row>
    <row r="113" spans="1:10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</row>
    <row r="114" spans="1:10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</row>
    <row r="115" spans="1:10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</row>
    <row r="116" spans="1:10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</row>
    <row r="117" spans="1:10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</row>
    <row r="118" spans="1:10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</row>
    <row r="119" spans="1:10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</row>
    <row r="120" spans="1:10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</row>
    <row r="121" spans="1:10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</row>
    <row r="122" spans="1:10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</row>
    <row r="123" spans="1:10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</row>
    <row r="124" spans="1:10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</row>
    <row r="125" spans="1:10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</row>
    <row r="126" spans="1:10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</row>
    <row r="127" spans="1:10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</row>
    <row r="128" spans="1:10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</row>
    <row r="129" spans="1:10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</row>
    <row r="130" spans="1:10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</row>
    <row r="131" spans="1:10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</row>
    <row r="132" spans="1:10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</row>
    <row r="133" spans="1:10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</row>
    <row r="134" spans="1:10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</row>
    <row r="135" spans="1:10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</row>
    <row r="136" spans="1:10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</row>
    <row r="137" spans="1:10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</row>
    <row r="138" spans="1:10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</row>
    <row r="139" spans="1:10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</row>
    <row r="140" spans="1:10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</row>
    <row r="141" spans="1:10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</row>
    <row r="142" spans="1:10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</row>
    <row r="143" spans="1:10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</row>
    <row r="144" spans="1:10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</row>
    <row r="145" spans="1:10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</row>
    <row r="146" spans="1:10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</row>
    <row r="147" spans="1:10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</row>
    <row r="148" spans="1:10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</row>
    <row r="149" spans="1:10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</row>
    <row r="150" spans="1:10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</row>
    <row r="151" spans="1:10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</row>
    <row r="152" spans="1:10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</row>
    <row r="153" spans="1:10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</row>
    <row r="154" spans="1:10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</row>
    <row r="155" spans="1:10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</row>
    <row r="156" spans="1:10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</row>
    <row r="157" spans="1:10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</row>
    <row r="158" spans="1:10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</row>
    <row r="159" spans="1:10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</row>
    <row r="160" spans="1:10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</row>
    <row r="161" spans="1:10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</row>
    <row r="162" spans="1:10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</row>
    <row r="163" spans="1:10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</row>
    <row r="164" spans="1:10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</row>
    <row r="165" spans="1:10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</row>
    <row r="166" spans="1:10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</row>
    <row r="167" spans="1:10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</row>
    <row r="168" spans="1:10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</row>
    <row r="169" spans="1:10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</row>
    <row r="170" spans="1:10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</row>
    <row r="171" spans="1:10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</row>
    <row r="172" spans="1:10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</row>
    <row r="173" spans="1:10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</row>
    <row r="174" spans="1:10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</row>
    <row r="175" spans="1:10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</row>
    <row r="176" spans="1:10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</row>
    <row r="177" spans="1:10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</row>
    <row r="178" spans="1:10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</row>
    <row r="179" spans="1:10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</row>
    <row r="180" spans="1:10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</row>
    <row r="181" spans="1:10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</row>
    <row r="182" spans="1:10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</row>
    <row r="183" spans="1:10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</row>
    <row r="184" spans="1:10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</row>
    <row r="185" spans="1:10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</row>
    <row r="186" spans="1:10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</row>
    <row r="187" spans="1:10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</row>
    <row r="188" spans="1:10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</row>
    <row r="189" spans="1:10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</row>
    <row r="190" spans="1:10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</row>
    <row r="191" spans="1:10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</row>
    <row r="192" spans="1:10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</row>
    <row r="193" spans="1:10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</row>
    <row r="194" spans="1:10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</row>
    <row r="195" spans="1:10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</row>
    <row r="196" spans="1:10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</row>
    <row r="197" spans="1:10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</row>
    <row r="198" spans="1:10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</row>
    <row r="199" spans="1:10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</row>
    <row r="200" spans="1:10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</row>
    <row r="201" spans="1:10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</row>
    <row r="202" spans="1:10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</row>
    <row r="203" spans="1:10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</row>
    <row r="204" spans="1:10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</row>
    <row r="205" spans="1:10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</row>
    <row r="206" spans="1:10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</row>
    <row r="207" spans="1:10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</row>
    <row r="208" spans="1:10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</row>
    <row r="209" spans="1:10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</row>
    <row r="210" spans="1:10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</row>
    <row r="211" spans="1:10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</row>
    <row r="212" spans="1:10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</row>
    <row r="213" spans="1:10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</row>
    <row r="214" spans="1:10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</row>
    <row r="215" spans="1:10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</row>
    <row r="216" spans="1:10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</row>
    <row r="217" spans="1:10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</row>
    <row r="218" spans="1:10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</row>
    <row r="219" spans="1:10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</row>
    <row r="220" spans="1:10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</row>
    <row r="221" spans="1:10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</row>
    <row r="222" spans="1:10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</row>
    <row r="223" spans="1:10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</row>
    <row r="224" spans="1:10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</row>
    <row r="225" spans="1:10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</row>
    <row r="226" spans="1:10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</row>
    <row r="227" spans="1:10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</row>
    <row r="228" spans="1:10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</row>
    <row r="229" spans="1:10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</row>
    <row r="230" spans="1:10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</row>
    <row r="231" spans="1:10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</row>
    <row r="232" spans="1:10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</row>
    <row r="233" spans="1:10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</row>
    <row r="234" spans="1:10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</row>
    <row r="235" spans="1:10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</row>
    <row r="236" spans="1:10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</row>
    <row r="237" spans="1:10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</row>
    <row r="238" spans="1:10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</row>
    <row r="239" spans="1:10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</row>
    <row r="240" spans="1:10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</row>
    <row r="241" spans="1:10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</row>
    <row r="242" spans="1:10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</row>
    <row r="243" spans="1:10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</row>
    <row r="244" spans="1:10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</row>
    <row r="245" spans="1:10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</row>
    <row r="246" spans="1:10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</row>
    <row r="247" spans="1:10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</row>
    <row r="248" spans="1:10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</row>
    <row r="249" spans="1:10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</row>
    <row r="250" spans="1:10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</row>
    <row r="251" spans="1:10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</row>
    <row r="252" spans="1:10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</row>
    <row r="253" spans="1:10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</row>
    <row r="254" spans="1:10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</row>
    <row r="255" spans="1:10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</row>
    <row r="256" spans="1:10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</row>
    <row r="257" spans="1:10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</row>
    <row r="258" spans="1:10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</row>
    <row r="259" spans="1:10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</row>
    <row r="260" spans="1:10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</row>
    <row r="261" spans="1:10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</row>
    <row r="262" spans="1:10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</row>
    <row r="263" spans="1:10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</row>
    <row r="264" spans="1:10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</row>
    <row r="265" spans="1:10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</row>
    <row r="266" spans="1:10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</row>
    <row r="267" spans="1:10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</row>
    <row r="268" spans="1:10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</row>
    <row r="269" spans="1:10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</row>
    <row r="270" spans="1:10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</row>
    <row r="271" spans="1:10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</row>
    <row r="272" spans="1:10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</row>
    <row r="273" spans="1:10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</row>
    <row r="274" spans="1:10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</row>
    <row r="275" spans="1:10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</row>
    <row r="276" spans="1:10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</row>
    <row r="277" spans="1:10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</row>
    <row r="278" spans="1:10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</row>
    <row r="279" spans="1:10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</row>
    <row r="280" spans="1:10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</row>
    <row r="281" spans="1:10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</row>
    <row r="282" spans="1:10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</row>
    <row r="283" spans="1:10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</row>
    <row r="284" spans="1:10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</row>
    <row r="285" spans="1:10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</row>
    <row r="286" spans="1:10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</row>
    <row r="287" spans="1:10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</row>
    <row r="288" spans="1:10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</row>
    <row r="289" spans="1:10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</row>
    <row r="290" spans="1:10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</row>
    <row r="291" spans="1:10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</row>
    <row r="292" spans="1:10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</row>
    <row r="293" spans="1:10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</row>
    <row r="294" spans="1:10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</row>
    <row r="295" spans="1:10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</row>
    <row r="296" spans="1:10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</row>
    <row r="297" spans="1:10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</row>
    <row r="298" spans="1:10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</row>
    <row r="299" spans="1:10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</row>
    <row r="300" spans="1:10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</row>
    <row r="301" spans="1:10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</row>
    <row r="302" spans="1:10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</row>
    <row r="303" spans="1:10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</row>
    <row r="304" spans="1:10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</row>
    <row r="305" spans="1:10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</row>
    <row r="306" spans="1:10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</row>
    <row r="307" spans="1:10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</row>
    <row r="308" spans="1:10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</row>
    <row r="309" spans="1:10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</row>
    <row r="310" spans="1:10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</row>
    <row r="311" spans="1:10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</row>
    <row r="312" spans="1:10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</row>
    <row r="313" spans="1:10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</row>
    <row r="314" spans="1:10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</row>
    <row r="315" spans="1:10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</row>
    <row r="316" spans="1:10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</row>
    <row r="317" spans="1:10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</row>
    <row r="318" spans="1:10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</row>
    <row r="319" spans="1:10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</row>
    <row r="320" spans="1:10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</row>
    <row r="321" spans="1:10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</row>
    <row r="322" spans="1:10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</row>
    <row r="323" spans="1:10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</row>
    <row r="324" spans="1:10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</row>
    <row r="325" spans="1:10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</row>
    <row r="326" spans="1:10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</row>
    <row r="327" spans="1:10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</row>
    <row r="328" spans="1:10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</row>
    <row r="329" spans="1:10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</row>
    <row r="330" spans="1:10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</row>
    <row r="331" spans="1:10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</row>
    <row r="332" spans="1:10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</row>
    <row r="333" spans="1:10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</row>
    <row r="334" spans="1:10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</row>
    <row r="335" spans="1:10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</row>
    <row r="336" spans="1:10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</row>
    <row r="337" spans="1:10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</row>
    <row r="338" spans="1:10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</row>
    <row r="339" spans="1:10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</row>
    <row r="340" spans="1:10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</row>
    <row r="341" spans="1:10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</row>
    <row r="342" spans="1:10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</row>
    <row r="343" spans="1:10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</row>
    <row r="344" spans="1:10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</row>
    <row r="345" spans="1:10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</row>
    <row r="346" spans="1:10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</row>
    <row r="347" spans="1:10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</row>
    <row r="348" spans="1:10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</row>
    <row r="349" spans="1:10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</row>
    <row r="350" spans="1:10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</row>
    <row r="351" spans="1:10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</row>
    <row r="352" spans="1:10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</row>
    <row r="353" spans="1:10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</row>
    <row r="354" spans="1:10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</row>
    <row r="355" spans="1:10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</row>
    <row r="356" spans="1:10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</row>
    <row r="357" spans="1:10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</row>
    <row r="358" spans="1:10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</row>
    <row r="359" spans="1:10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</row>
    <row r="360" spans="1:10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</row>
    <row r="361" spans="1:10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</row>
    <row r="362" spans="1:10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</row>
    <row r="363" spans="1:10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</row>
    <row r="364" spans="1:10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</row>
    <row r="365" spans="1:10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</row>
    <row r="366" spans="1:10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</row>
    <row r="367" spans="1:10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</row>
    <row r="368" spans="1:10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</row>
    <row r="369" spans="1:10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</row>
    <row r="370" spans="1:10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</row>
    <row r="371" spans="1:10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</row>
    <row r="372" spans="1:10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</row>
    <row r="373" spans="1:10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</row>
    <row r="374" spans="1:10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</row>
    <row r="375" spans="1:10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</row>
    <row r="376" spans="1:10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</row>
    <row r="377" spans="1:10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</row>
    <row r="378" spans="1:10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</row>
    <row r="379" spans="1:10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</row>
    <row r="380" spans="1:10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</row>
    <row r="381" spans="1:10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</row>
    <row r="382" spans="1:10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</row>
    <row r="383" spans="1:10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</row>
    <row r="384" spans="1:10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</row>
    <row r="385" spans="1:10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</row>
    <row r="386" spans="1:10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</row>
    <row r="387" spans="1:10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</row>
    <row r="388" spans="1:10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</row>
    <row r="389" spans="1:10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</row>
    <row r="390" spans="1:10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</row>
    <row r="391" spans="1:10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</row>
    <row r="392" spans="1:10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</row>
    <row r="393" spans="1:10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</row>
    <row r="394" spans="1:10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</row>
    <row r="395" spans="1:10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</row>
    <row r="396" spans="1:10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</row>
    <row r="397" spans="1:10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</row>
    <row r="398" spans="1:10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</row>
    <row r="399" spans="1:10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</row>
    <row r="400" spans="1:10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</row>
    <row r="401" spans="1:10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</row>
    <row r="402" spans="1:10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</row>
    <row r="403" spans="1:10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</row>
    <row r="404" spans="1:10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</row>
    <row r="405" spans="1:10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</row>
    <row r="406" spans="1:10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</row>
    <row r="407" spans="1:10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</row>
    <row r="408" spans="1:10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</row>
    <row r="409" spans="1:10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</row>
    <row r="410" spans="1:10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</row>
    <row r="411" spans="1:10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</row>
    <row r="412" spans="1:10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</row>
    <row r="413" spans="1:10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</row>
    <row r="414" spans="1:10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</row>
    <row r="415" spans="1:10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</row>
    <row r="416" spans="1:10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</row>
    <row r="417" spans="1:10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</row>
    <row r="418" spans="1:10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</row>
    <row r="419" spans="1:10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</row>
    <row r="420" spans="1:10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</row>
    <row r="421" spans="1:10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</row>
    <row r="422" spans="1:10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</row>
    <row r="423" spans="1:10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</row>
    <row r="424" spans="1:10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</row>
    <row r="425" spans="1:10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</row>
    <row r="426" spans="1:10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</row>
    <row r="427" spans="1:10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</row>
    <row r="428" spans="1:10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</row>
    <row r="429" spans="1:10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</row>
    <row r="430" spans="1:10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</row>
    <row r="431" spans="1:10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</row>
    <row r="432" spans="1:10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</row>
    <row r="433" spans="1:10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</row>
    <row r="434" spans="1:10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</row>
    <row r="435" spans="1:10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</row>
    <row r="436" spans="1:10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</row>
    <row r="437" spans="1:10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</row>
    <row r="438" spans="1:10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</row>
    <row r="439" spans="1:10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</row>
    <row r="440" spans="1:10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</row>
    <row r="441" spans="1:10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</row>
    <row r="442" spans="1:10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</row>
    <row r="443" spans="1:10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</row>
    <row r="444" spans="1:10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</row>
    <row r="445" spans="1:10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</row>
    <row r="446" spans="1:10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</row>
    <row r="447" spans="1:10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</row>
    <row r="448" spans="1:10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</row>
    <row r="449" spans="1:10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</row>
    <row r="450" spans="1:10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</row>
    <row r="451" spans="1:10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</row>
    <row r="452" spans="1:10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</row>
    <row r="453" spans="1:10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</row>
    <row r="454" spans="1:10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</row>
    <row r="455" spans="1:10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</row>
    <row r="456" spans="1:10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</row>
    <row r="457" spans="1:10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</row>
    <row r="458" spans="1:10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</row>
    <row r="459" spans="1:10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</row>
    <row r="460" spans="1:10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</row>
    <row r="461" spans="1:10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</row>
    <row r="462" spans="1:10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</row>
    <row r="463" spans="1:10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</row>
    <row r="464" spans="1:10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</row>
    <row r="465" spans="1:10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</row>
    <row r="466" spans="1:10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</row>
    <row r="467" spans="1:10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</row>
    <row r="468" spans="1:10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</row>
    <row r="469" spans="1:10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</row>
    <row r="470" spans="1:10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</row>
    <row r="471" spans="1:10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</row>
    <row r="472" spans="1:10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</row>
    <row r="473" spans="1:10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</row>
    <row r="474" spans="1:10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</row>
    <row r="475" spans="1:10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</row>
    <row r="476" spans="1:10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</row>
    <row r="477" spans="1:10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</row>
    <row r="478" spans="1:10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</row>
    <row r="479" spans="1:10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</row>
    <row r="480" spans="1:10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</row>
    <row r="481" spans="1:10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</row>
    <row r="482" spans="1:10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</row>
    <row r="483" spans="1:10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</row>
    <row r="484" spans="1:10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</row>
    <row r="485" spans="1:10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</row>
    <row r="486" spans="1:10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</row>
    <row r="487" spans="1:10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</row>
    <row r="488" spans="1:10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</row>
    <row r="489" spans="1:10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</row>
    <row r="490" spans="1:10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</row>
    <row r="491" spans="1:10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</row>
    <row r="492" spans="1:10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</row>
    <row r="493" spans="1:10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</row>
    <row r="494" spans="1:10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</row>
    <row r="495" spans="1:10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</row>
    <row r="496" spans="1:10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</row>
    <row r="497" spans="1:10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</row>
    <row r="498" spans="1:10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</row>
    <row r="499" spans="1:10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</row>
    <row r="500" spans="1:10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</row>
    <row r="501" spans="1:10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</row>
    <row r="502" spans="1:10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</row>
    <row r="503" spans="1:10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</row>
    <row r="504" spans="1:10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</row>
    <row r="505" spans="1:10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</row>
    <row r="506" spans="1:10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</row>
    <row r="507" spans="1:10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</row>
    <row r="508" spans="1:10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</row>
    <row r="509" spans="1:10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</row>
    <row r="510" spans="1:10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</row>
    <row r="511" spans="1:10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</row>
    <row r="512" spans="1:10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</row>
    <row r="513" spans="1:10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</row>
    <row r="514" spans="1:10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</row>
    <row r="515" spans="1:10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</row>
    <row r="516" spans="1:10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</row>
    <row r="517" spans="1:10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</row>
    <row r="518" spans="1:10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</row>
    <row r="519" spans="1:10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</row>
    <row r="520" spans="1:10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</row>
    <row r="521" spans="1:10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</row>
    <row r="522" spans="1:10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</row>
    <row r="523" spans="1:10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</row>
    <row r="524" spans="1:10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</row>
    <row r="525" spans="1:10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</row>
    <row r="526" spans="1:10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</row>
    <row r="527" spans="1:10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</row>
    <row r="528" spans="1:10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</row>
    <row r="529" spans="1:10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</row>
    <row r="530" spans="1:10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</row>
    <row r="531" spans="1:10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</row>
    <row r="532" spans="1:10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</row>
    <row r="533" spans="1:10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</row>
    <row r="534" spans="1:10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</row>
    <row r="535" spans="1:10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</row>
    <row r="536" spans="1:10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</row>
    <row r="537" spans="1:10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</row>
    <row r="538" spans="1:10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</row>
    <row r="539" spans="1:10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</row>
    <row r="540" spans="1:10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</row>
    <row r="541" spans="1:10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</row>
    <row r="542" spans="1:10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</row>
    <row r="543" spans="1:10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</row>
    <row r="544" spans="1:10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</row>
    <row r="545" spans="1:10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</row>
    <row r="546" spans="1:10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</row>
    <row r="547" spans="1:10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</row>
    <row r="548" spans="1:10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</row>
    <row r="549" spans="1:10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</row>
    <row r="550" spans="1:10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</row>
    <row r="551" spans="1:10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</row>
    <row r="552" spans="1:10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</row>
    <row r="553" spans="1:10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</row>
    <row r="554" spans="1:10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</row>
    <row r="555" spans="1:10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</row>
    <row r="556" spans="1:10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</row>
    <row r="557" spans="1:10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</row>
    <row r="558" spans="1:10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</row>
    <row r="559" spans="1:10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</row>
    <row r="560" spans="1:10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</row>
    <row r="561" spans="1:10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</row>
    <row r="562" spans="1:10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</row>
    <row r="563" spans="1:10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</row>
    <row r="564" spans="1:10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</row>
    <row r="565" spans="1:10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</row>
    <row r="566" spans="1:10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</row>
    <row r="567" spans="1:10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</row>
    <row r="568" spans="1:10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</row>
    <row r="569" spans="1:10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</row>
    <row r="570" spans="1:10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</row>
    <row r="571" spans="1:10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</row>
    <row r="572" spans="1:10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</row>
    <row r="573" spans="1:10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</row>
    <row r="574" spans="1:10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</row>
    <row r="575" spans="1:10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</row>
    <row r="576" spans="1:10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</row>
    <row r="577" spans="1:10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</row>
    <row r="578" spans="1:10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</row>
    <row r="579" spans="1:10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</row>
    <row r="580" spans="1:10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</row>
    <row r="581" spans="1:10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</row>
    <row r="582" spans="1:10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</row>
    <row r="583" spans="1:10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</row>
    <row r="584" spans="1:10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</row>
    <row r="585" spans="1:10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</row>
    <row r="586" spans="1:10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</row>
    <row r="587" spans="1:10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</row>
    <row r="588" spans="1:10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</row>
    <row r="589" spans="1:10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</row>
    <row r="590" spans="1:10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</row>
    <row r="591" spans="1:10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</row>
    <row r="592" spans="1:10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</row>
    <row r="593" spans="1:10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</row>
    <row r="594" spans="1:10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</row>
    <row r="595" spans="1:10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</row>
    <row r="596" spans="1:10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</row>
    <row r="597" spans="1:10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</row>
    <row r="598" spans="1:10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</row>
    <row r="599" spans="1:10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</row>
    <row r="600" spans="1:10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</row>
    <row r="601" spans="1:10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</row>
    <row r="602" spans="1:10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</row>
    <row r="603" spans="1:10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</row>
    <row r="604" spans="1:10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</row>
    <row r="605" spans="1:10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</row>
    <row r="606" spans="1:10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</row>
    <row r="607" spans="1:10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</row>
    <row r="608" spans="1:10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</row>
    <row r="609" spans="1:10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</row>
    <row r="610" spans="1:10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</row>
    <row r="611" spans="1:10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</row>
    <row r="612" spans="1:10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</row>
    <row r="613" spans="1:10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</row>
    <row r="614" spans="1:10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</row>
    <row r="615" spans="1:10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</row>
    <row r="616" spans="1:10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</row>
    <row r="617" spans="1:10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</row>
    <row r="618" spans="1:10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</row>
    <row r="619" spans="1:10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</row>
    <row r="620" spans="1:10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</row>
    <row r="621" spans="1:10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</row>
    <row r="622" spans="1:10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</row>
    <row r="623" spans="1:10" x14ac:dyDescent="0.25">
      <c r="H623" s="1"/>
      <c r="I623" s="1"/>
      <c r="J623" s="1"/>
    </row>
    <row r="624" spans="1:10" x14ac:dyDescent="0.25">
      <c r="H624" s="1"/>
      <c r="I624" s="1"/>
      <c r="J624" s="1"/>
    </row>
    <row r="625" spans="8:10" x14ac:dyDescent="0.25">
      <c r="H625" s="1"/>
      <c r="I625" s="1"/>
      <c r="J625" s="1"/>
    </row>
    <row r="626" spans="8:10" x14ac:dyDescent="0.25">
      <c r="H626" s="1"/>
    </row>
  </sheetData>
  <mergeCells count="3">
    <mergeCell ref="D1:G1"/>
    <mergeCell ref="I1:K1"/>
    <mergeCell ref="B2:K2"/>
  </mergeCells>
  <phoneticPr fontId="15" type="noConversion"/>
  <conditionalFormatting sqref="B10:B11 B13:B15">
    <cfRule type="duplicateValues" dxfId="7" priority="22"/>
  </conditionalFormatting>
  <conditionalFormatting sqref="B15">
    <cfRule type="duplicateValues" dxfId="6" priority="21"/>
  </conditionalFormatting>
  <conditionalFormatting sqref="B8 B4:B6">
    <cfRule type="duplicateValues" dxfId="5" priority="23"/>
  </conditionalFormatting>
  <conditionalFormatting sqref="B8 B4:B6">
    <cfRule type="duplicateValues" dxfId="4" priority="24"/>
  </conditionalFormatting>
  <conditionalFormatting sqref="B9">
    <cfRule type="duplicateValues" dxfId="3" priority="17"/>
  </conditionalFormatting>
  <conditionalFormatting sqref="B9">
    <cfRule type="duplicateValues" dxfId="2" priority="18"/>
  </conditionalFormatting>
  <conditionalFormatting sqref="B12">
    <cfRule type="duplicateValues" dxfId="1" priority="15"/>
  </conditionalFormatting>
  <conditionalFormatting sqref="B12">
    <cfRule type="duplicateValues" dxfId="0" priority="16"/>
  </conditionalFormatting>
  <hyperlinks>
    <hyperlink ref="B15" location="index!A1" display="返回" xr:uid="{4403AC6C-8D6B-4ECF-A165-669ABDAD11E9}"/>
    <hyperlink ref="C15" location="data_dict!A1" display="数据字典" xr:uid="{A31C9D17-C209-4B08-B81F-9A56CCC73D9B}"/>
  </hyperlinks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修订记录</vt:lpstr>
      <vt:lpstr>index</vt:lpstr>
      <vt:lpstr>ER-KING</vt:lpstr>
      <vt:lpstr>data_dict</vt:lpstr>
      <vt:lpstr>SYS_USER</vt:lpstr>
      <vt:lpstr>SYS_ROLE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Kevin Wong</cp:lastModifiedBy>
  <dcterms:created xsi:type="dcterms:W3CDTF">2006-09-13T11:21:00Z</dcterms:created>
  <dcterms:modified xsi:type="dcterms:W3CDTF">2019-04-28T03:07:31Z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2052-10.1.0.7106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ThisWorkbook.showForm_1" visible="true" label="生成建表文件" onAction="ThisWorkbook.showForm" imageMso="ViewDisplayInHighContrast"/>
      </mso:documentControls>
    </mso:qat>
  </mso:ribbon>
</mso:customUI>
</file>